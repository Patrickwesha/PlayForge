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10" documentId="11_AACD3C411D2DBC0C17A998EC7851F8011BC19AF0" xr6:coauthVersionLast="47" xr6:coauthVersionMax="47" xr10:uidLastSave="{F7260CAB-6B37-46A2-8153-F20122D3C411}"/>
  <bookViews>
    <workbookView xWindow="0" yWindow="0" windowWidth="16384" windowHeight="8192" tabRatio="500" firstSheet="2" activeTab="2" xr2:uid="{00000000-000D-0000-FFFF-FFFF00000000}"/>
  </bookViews>
  <sheets>
    <sheet name="How to use" sheetId="1" r:id="rId1"/>
    <sheet name="Lists" sheetId="2" r:id="rId2"/>
    <sheet name="Chart" sheetId="3" r:id="rId3"/>
    <sheet name="Summary" sheetId="4" r:id="rId4"/>
  </sheets>
  <definedNames>
    <definedName name="_xlnm._FilterDatabase" localSheetId="2" hidden="1">Chart!$A$4:$AE$1004</definedName>
  </definedNames>
  <calcPr calcId="191028" fullCalcOnLoad="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 i="3" l="1"/>
  <c r="A7" i="3"/>
  <c r="A8" i="3"/>
  <c r="A9" i="3"/>
  <c r="A10" i="3"/>
  <c r="A11" i="3"/>
  <c r="A12" i="3"/>
  <c r="A13" i="3"/>
  <c r="A14" i="3"/>
  <c r="B48" i="4"/>
  <c r="B47" i="4"/>
  <c r="B46" i="4"/>
  <c r="D43" i="4"/>
  <c r="B43" i="4"/>
  <c r="D42" i="4"/>
  <c r="B42" i="4"/>
  <c r="D41" i="4"/>
  <c r="B41" i="4"/>
  <c r="D40" i="4"/>
  <c r="B40" i="4"/>
  <c r="D39" i="4"/>
  <c r="B39" i="4"/>
  <c r="D38" i="4"/>
  <c r="B38" i="4"/>
  <c r="D37" i="4"/>
  <c r="B37" i="4"/>
  <c r="D36" i="4"/>
  <c r="B36" i="4"/>
  <c r="D35" i="4"/>
  <c r="B35" i="4"/>
  <c r="D34" i="4"/>
  <c r="B34" i="4"/>
  <c r="D33" i="4"/>
  <c r="B33" i="4"/>
  <c r="D32" i="4"/>
  <c r="B32" i="4"/>
  <c r="D31" i="4"/>
  <c r="B31" i="4"/>
  <c r="D30" i="4"/>
  <c r="B30" i="4"/>
  <c r="D27" i="4"/>
  <c r="B27" i="4"/>
  <c r="D26" i="4"/>
  <c r="B26" i="4"/>
  <c r="D25" i="4"/>
  <c r="B25" i="4"/>
  <c r="D24" i="4"/>
  <c r="B24" i="4"/>
  <c r="D23" i="4"/>
  <c r="B23" i="4"/>
  <c r="D22" i="4"/>
  <c r="B22" i="4"/>
  <c r="D21" i="4"/>
  <c r="B21" i="4"/>
  <c r="D20" i="4"/>
  <c r="B20" i="4"/>
  <c r="D19" i="4"/>
  <c r="B19" i="4"/>
  <c r="D18" i="4"/>
  <c r="B18" i="4"/>
  <c r="D17" i="4"/>
  <c r="B17" i="4"/>
  <c r="D14" i="4"/>
  <c r="B14" i="4"/>
  <c r="D13" i="4"/>
  <c r="B13" i="4"/>
  <c r="D12" i="4"/>
  <c r="B12" i="4"/>
  <c r="D11" i="4"/>
  <c r="B11" i="4"/>
  <c r="D10" i="4"/>
  <c r="B10" i="4"/>
  <c r="D9" i="4"/>
  <c r="B9" i="4"/>
  <c r="D8" i="4"/>
  <c r="B8" i="4"/>
  <c r="D7" i="4"/>
  <c r="B7" i="4"/>
  <c r="D6" i="4"/>
  <c r="B6" i="4"/>
  <c r="D5" i="4"/>
  <c r="B5" i="4"/>
  <c r="B2" i="4"/>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5" i="3"/>
  <c r="C5" i="4" l="1"/>
  <c r="C6" i="4"/>
  <c r="C7" i="4"/>
  <c r="C8" i="4"/>
  <c r="C9" i="4"/>
  <c r="C10" i="4"/>
  <c r="C11" i="4"/>
  <c r="C12" i="4"/>
  <c r="C13" i="4"/>
  <c r="C14" i="4"/>
  <c r="C17" i="4"/>
  <c r="C18" i="4"/>
  <c r="C19" i="4"/>
  <c r="C20" i="4"/>
  <c r="C21" i="4"/>
  <c r="C22" i="4"/>
  <c r="C23" i="4"/>
  <c r="C24" i="4"/>
  <c r="C25" i="4"/>
  <c r="C26" i="4"/>
  <c r="C27" i="4"/>
  <c r="C30" i="4"/>
  <c r="C31" i="4"/>
  <c r="C32" i="4"/>
  <c r="C33" i="4"/>
  <c r="C34" i="4"/>
  <c r="C35" i="4"/>
  <c r="C36" i="4"/>
  <c r="C37" i="4"/>
  <c r="C38" i="4"/>
  <c r="C39" i="4"/>
  <c r="C40" i="4"/>
  <c r="C41" i="4"/>
  <c r="C42" i="4"/>
  <c r="C43" i="4"/>
</calcChain>
</file>

<file path=xl/sharedStrings.xml><?xml version="1.0" encoding="utf-8"?>
<sst xmlns="http://schemas.openxmlformats.org/spreadsheetml/2006/main" count="521" uniqueCount="419">
  <si>
    <t>EAGLES ALL-22 CHART</t>
  </si>
  <si>
    <t>WHICH CELLS YOU TOUCH</t>
  </si>
  <si>
    <t>Yellow cells on the Chart tab</t>
  </si>
  <si>
    <t>You fill these in. Every one is a dropdown except Dist, Yds, Target, PlayForge Link and Notes.</t>
  </si>
  <si>
    <t>Column A, Play ID</t>
  </si>
  <si>
    <t>Fills itself. Type the week in column B and the ID appears as W1-001, W1-002 and so on.</t>
  </si>
  <si>
    <t>Lists tab</t>
  </si>
  <si>
    <t>The dropdown vocabulary. Add your own terms at the bottom of a column and they show up in the dropdown.</t>
  </si>
  <si>
    <t>Summary tab</t>
  </si>
  <si>
    <t>All formulas. Nothing to fill in.</t>
  </si>
  <si>
    <t>THE ROUTINE</t>
  </si>
  <si>
    <t>1. Live watch</t>
  </si>
  <si>
    <t>Atlas voice notes. Fragments only: the ID, then three or four words. "W1-014, condensed, run right, big cutback."</t>
  </si>
  <si>
    <t>2. All-22 pass</t>
  </si>
  <si>
    <t>One row per snap. Sideline at normal speed for the data columns, endzone frame by frame for Run Family and Run Tag. The endzone angle is the only one that shows OL steps.</t>
  </si>
  <si>
    <t>3. Draw</t>
  </si>
  <si>
    <t>Only the rows where New Concept = Yes. Most snaps repeat a concept with a different formation or tag. Draw the concept once, then add formation variants.</t>
  </si>
  <si>
    <t>THE HABITS THAT MAKE IT WORK</t>
  </si>
  <si>
    <t>One ID everywhere</t>
  </si>
  <si>
    <t>The Play ID goes in the Atlas note, this chart, and the PlayForge play name. Same string in all three.</t>
  </si>
  <si>
    <t>Chart the run game first</t>
  </si>
  <si>
    <t>Play action hangs off the run game. Set Keeper Fake = Yes whenever the QB finishes the fake, and you will see the run and play-pass pairs appear.</t>
  </si>
  <si>
    <t>Flag, don't stall</t>
  </si>
  <si>
    <t>If you cannot name it, set Pass Concept = UNKNOWN - review or Run Tag = Unknown, write what the tackle and the TE did in Notes, and move on. Those rows are the ones to bring back for help.</t>
  </si>
  <si>
    <t>Function over verbiage</t>
  </si>
  <si>
    <t>Eagles verbiage is not recoverable from film. Name what you see using this vocabulary and stay consistent. Consistency beats correctness here.</t>
  </si>
  <si>
    <t>READING THE OL, FAST</t>
  </si>
  <si>
    <t>Playside tackle's first step</t>
  </si>
  <si>
    <t>Reaching for width = 18-19 outside zone. Vertical into the B gap = 15-14 inside zone. Down block with a guard pulling = 12-13 gap.</t>
  </si>
  <si>
    <t>Blockers outside the tackle</t>
  </si>
  <si>
    <t>Two = Zorro / Zap family. One pulling flat = Taxi / Truck / Cab. None = base zone.</t>
  </si>
  <si>
    <t>Watch the F, not the ball</t>
  </si>
  <si>
    <t>The F tells you the formation family and the strength before the snap.</t>
  </si>
  <si>
    <t>DROPDOWN SOURCE VALUES</t>
  </si>
  <si>
    <t>Pulled from the 2019 Green Bay (LaFleur) playbook. Add your own terms to the bottom of any column and the dropdown picks them up automatically.</t>
  </si>
  <si>
    <t>Personnel</t>
  </si>
  <si>
    <t>FormFamily</t>
  </si>
  <si>
    <t>Formation</t>
  </si>
  <si>
    <t>Strength</t>
  </si>
  <si>
    <t>Adjust</t>
  </si>
  <si>
    <t>Motion</t>
  </si>
  <si>
    <t>Backfield</t>
  </si>
  <si>
    <t>PlayType</t>
  </si>
  <si>
    <t>RunFamily</t>
  </si>
  <si>
    <t>RunTag</t>
  </si>
  <si>
    <t>Protection</t>
  </si>
  <si>
    <t>Concept</t>
  </si>
  <si>
    <t>Screen</t>
  </si>
  <si>
    <t>Front</t>
  </si>
  <si>
    <t>Coverage</t>
  </si>
  <si>
    <t>Pressure</t>
  </si>
  <si>
    <t>Hash</t>
  </si>
  <si>
    <t>FieldZone</t>
  </si>
  <si>
    <t>Down</t>
  </si>
  <si>
    <t>Result</t>
  </si>
  <si>
    <t>YesNo</t>
  </si>
  <si>
    <t>Drawn</t>
  </si>
  <si>
    <t>21</t>
  </si>
  <si>
    <t>2 Back</t>
  </si>
  <si>
    <t>I</t>
  </si>
  <si>
    <t>Rt</t>
  </si>
  <si>
    <t>(none)</t>
  </si>
  <si>
    <t>Under Center</t>
  </si>
  <si>
    <t>Run</t>
  </si>
  <si>
    <t>Outside Zone 18-19</t>
  </si>
  <si>
    <t>2 Jet</t>
  </si>
  <si>
    <t>Stick</t>
  </si>
  <si>
    <t>n/a</t>
  </si>
  <si>
    <t>Base 4-3</t>
  </si>
  <si>
    <t>Cover 0</t>
  </si>
  <si>
    <t>None</t>
  </si>
  <si>
    <t>Left</t>
  </si>
  <si>
    <t>Own 1-10</t>
  </si>
  <si>
    <t>1</t>
  </si>
  <si>
    <t>Run - Gain</t>
  </si>
  <si>
    <t>Yes</t>
  </si>
  <si>
    <t>No</t>
  </si>
  <si>
    <t>12</t>
  </si>
  <si>
    <t>3x1 'T'</t>
  </si>
  <si>
    <t>Strong</t>
  </si>
  <si>
    <t>Lt</t>
  </si>
  <si>
    <t>Close</t>
  </si>
  <si>
    <t>F Rt</t>
  </si>
  <si>
    <t>Gun</t>
  </si>
  <si>
    <t>Pass - Quick</t>
  </si>
  <si>
    <t>Outside Zone 38-39 (gun)</t>
  </si>
  <si>
    <t>Zorro</t>
  </si>
  <si>
    <t>3 Jet</t>
  </si>
  <si>
    <t>Stick Bow</t>
  </si>
  <si>
    <t>HB Slow</t>
  </si>
  <si>
    <t>Over</t>
  </si>
  <si>
    <t>Cover 1</t>
  </si>
  <si>
    <t>Single LB</t>
  </si>
  <si>
    <t>Right</t>
  </si>
  <si>
    <t>Own 11-20</t>
  </si>
  <si>
    <t>2</t>
  </si>
  <si>
    <t>Run - Loss</t>
  </si>
  <si>
    <t>11</t>
  </si>
  <si>
    <t>Bunch 'B'</t>
  </si>
  <si>
    <t>Weak</t>
  </si>
  <si>
    <t>Closer</t>
  </si>
  <si>
    <t>F Lt</t>
  </si>
  <si>
    <t>Pistol</t>
  </si>
  <si>
    <t>Pass - Drop Back</t>
  </si>
  <si>
    <t>Inside Zone 15-14</t>
  </si>
  <si>
    <t>Zap</t>
  </si>
  <si>
    <t>200 Jet</t>
  </si>
  <si>
    <t>Omaha</t>
  </si>
  <si>
    <t>Chip</t>
  </si>
  <si>
    <t>Under</t>
  </si>
  <si>
    <t>Cover 11</t>
  </si>
  <si>
    <t>LB Blitz</t>
  </si>
  <si>
    <t>Middle</t>
  </si>
  <si>
    <t>Own 21-40</t>
  </si>
  <si>
    <t>3</t>
  </si>
  <si>
    <t>Complete</t>
  </si>
  <si>
    <t>Not needed - repeat</t>
  </si>
  <si>
    <t>20</t>
  </si>
  <si>
    <t>2x2 'D'</t>
  </si>
  <si>
    <t>Red</t>
  </si>
  <si>
    <t>Clamp</t>
  </si>
  <si>
    <t>H Rt</t>
  </si>
  <si>
    <t>Empty</t>
  </si>
  <si>
    <t>Pass - Empty</t>
  </si>
  <si>
    <t>Inside Zone 35-34 (gun)</t>
  </si>
  <si>
    <t>Arc</t>
  </si>
  <si>
    <t>300 Jet</t>
  </si>
  <si>
    <t>Stitch</t>
  </si>
  <si>
    <t>Alley</t>
  </si>
  <si>
    <t>50 / Odd</t>
  </si>
  <si>
    <t>Cover 2</t>
  </si>
  <si>
    <t>DB Blitz</t>
  </si>
  <si>
    <t>Own 41 to Mid</t>
  </si>
  <si>
    <t>4</t>
  </si>
  <si>
    <t>Incomplete</t>
  </si>
  <si>
    <t>10</t>
  </si>
  <si>
    <t>2x2 Stack 'S'</t>
  </si>
  <si>
    <t>Change</t>
  </si>
  <si>
    <t>Click</t>
  </si>
  <si>
    <t>H Lt</t>
  </si>
  <si>
    <t>Play Pass</t>
  </si>
  <si>
    <t>Gap 12-13</t>
  </si>
  <si>
    <t>Force</t>
  </si>
  <si>
    <t>2 Scat</t>
  </si>
  <si>
    <t>Dragon Over</t>
  </si>
  <si>
    <t>Path</t>
  </si>
  <si>
    <t>30</t>
  </si>
  <si>
    <t>Cover 22</t>
  </si>
  <si>
    <t>Double A</t>
  </si>
  <si>
    <t>Mid to Opp 41</t>
  </si>
  <si>
    <t>Throwaway</t>
  </si>
  <si>
    <t>02</t>
  </si>
  <si>
    <t>1x3 'F'</t>
  </si>
  <si>
    <t>West</t>
  </si>
  <si>
    <t>Open</t>
  </si>
  <si>
    <t>Bump</t>
  </si>
  <si>
    <t>Movement</t>
  </si>
  <si>
    <t>Gap 32-33 (gun)</t>
  </si>
  <si>
    <t>Support</t>
  </si>
  <si>
    <t>3 Scat</t>
  </si>
  <si>
    <t>Dragon Wheel</t>
  </si>
  <si>
    <t>Slammer</t>
  </si>
  <si>
    <t>Bear</t>
  </si>
  <si>
    <t>2-Man</t>
  </si>
  <si>
    <t>Nickel Blitz</t>
  </si>
  <si>
    <t>Opp 40-21</t>
  </si>
  <si>
    <t>Sack</t>
  </si>
  <si>
    <t>01</t>
  </si>
  <si>
    <t>1x3 Bunch 'CR'</t>
  </si>
  <si>
    <t>East</t>
  </si>
  <si>
    <t>Out</t>
  </si>
  <si>
    <t>Hay</t>
  </si>
  <si>
    <t>Toss</t>
  </si>
  <si>
    <t>Quatro</t>
  </si>
  <si>
    <t>Scram</t>
  </si>
  <si>
    <t>Coin Cut</t>
  </si>
  <si>
    <t>Jailbreak</t>
  </si>
  <si>
    <t>Even</t>
  </si>
  <si>
    <t>Cover 3</t>
  </si>
  <si>
    <t>Sim / Creeper</t>
  </si>
  <si>
    <t>Opp 20-11 (Red)</t>
  </si>
  <si>
    <t>Interception</t>
  </si>
  <si>
    <t>22</t>
  </si>
  <si>
    <t>Special</t>
  </si>
  <si>
    <t>Trips</t>
  </si>
  <si>
    <t>Off</t>
  </si>
  <si>
    <t>Hax</t>
  </si>
  <si>
    <t>QB Run</t>
  </si>
  <si>
    <t>Draw</t>
  </si>
  <si>
    <t>Wanda</t>
  </si>
  <si>
    <t>Coin Target</t>
  </si>
  <si>
    <t>Prison</t>
  </si>
  <si>
    <t>Nickel</t>
  </si>
  <si>
    <t>Cover 33</t>
  </si>
  <si>
    <t>Unknown</t>
  </si>
  <si>
    <t>Opp 10-1 (Goal Line)</t>
  </si>
  <si>
    <t>Fumble</t>
  </si>
  <si>
    <t>22X</t>
  </si>
  <si>
    <t>Big</t>
  </si>
  <si>
    <t>Trio</t>
  </si>
  <si>
    <t>Tight</t>
  </si>
  <si>
    <t>Foy</t>
  </si>
  <si>
    <t>Scramble</t>
  </si>
  <si>
    <t>Goal Line</t>
  </si>
  <si>
    <t>Weasel</t>
  </si>
  <si>
    <t>Coin Buffalo</t>
  </si>
  <si>
    <t>Alcatraz</t>
  </si>
  <si>
    <t>Dime</t>
  </si>
  <si>
    <t>Cover 4 / Quarters</t>
  </si>
  <si>
    <t>Touchdown</t>
  </si>
  <si>
    <t>22Z</t>
  </si>
  <si>
    <t>Train</t>
  </si>
  <si>
    <t>Tighter</t>
  </si>
  <si>
    <t>Fox</t>
  </si>
  <si>
    <t>Penalty / No Play</t>
  </si>
  <si>
    <t>QB Designed</t>
  </si>
  <si>
    <t>Washy</t>
  </si>
  <si>
    <t>H2</t>
  </si>
  <si>
    <t>Choice Swab</t>
  </si>
  <si>
    <t>Flow</t>
  </si>
  <si>
    <t>Cover 6</t>
  </si>
  <si>
    <t>Penalty</t>
  </si>
  <si>
    <t>13</t>
  </si>
  <si>
    <t>Trout</t>
  </si>
  <si>
    <t>Slot</t>
  </si>
  <si>
    <t>Home</t>
  </si>
  <si>
    <t>Wizz</t>
  </si>
  <si>
    <t>H3</t>
  </si>
  <si>
    <t>Flag Bow</t>
  </si>
  <si>
    <t>Streamer</t>
  </si>
  <si>
    <t>Match - Palms</t>
  </si>
  <si>
    <t>13X</t>
  </si>
  <si>
    <t>Trax</t>
  </si>
  <si>
    <t>Zoom</t>
  </si>
  <si>
    <t>Mo</t>
  </si>
  <si>
    <t>Taxi</t>
  </si>
  <si>
    <t>H200</t>
  </si>
  <si>
    <t>Flag Swab</t>
  </si>
  <si>
    <t>Swinger</t>
  </si>
  <si>
    <t>Match - other</t>
  </si>
  <si>
    <t>13Z</t>
  </si>
  <si>
    <t>Bunch</t>
  </si>
  <si>
    <t>Hip</t>
  </si>
  <si>
    <t>Short</t>
  </si>
  <si>
    <t>Truck</t>
  </si>
  <si>
    <t>H300</t>
  </si>
  <si>
    <t>Go Shade</t>
  </si>
  <si>
    <t>Sifter</t>
  </si>
  <si>
    <t>23</t>
  </si>
  <si>
    <t>Bin</t>
  </si>
  <si>
    <t>Hop</t>
  </si>
  <si>
    <t>Shorty</t>
  </si>
  <si>
    <t>Cab</t>
  </si>
  <si>
    <t>64</t>
  </si>
  <si>
    <t>Shade Pump</t>
  </si>
  <si>
    <t>William</t>
  </si>
  <si>
    <t>Buddy</t>
  </si>
  <si>
    <t>Snug</t>
  </si>
  <si>
    <t>Counter</t>
  </si>
  <si>
    <t>Sideline</t>
  </si>
  <si>
    <t>65</t>
  </si>
  <si>
    <t>Go Shadow</t>
  </si>
  <si>
    <t>Willie</t>
  </si>
  <si>
    <t>Box</t>
  </si>
  <si>
    <t>Ace</t>
  </si>
  <si>
    <t>Fly</t>
  </si>
  <si>
    <t>Uber</t>
  </si>
  <si>
    <t>364</t>
  </si>
  <si>
    <t>Florida</t>
  </si>
  <si>
    <t>Y Screen</t>
  </si>
  <si>
    <t>Deuce</t>
  </si>
  <si>
    <t>Book</t>
  </si>
  <si>
    <t>Behind</t>
  </si>
  <si>
    <t>Structure</t>
  </si>
  <si>
    <t>365</t>
  </si>
  <si>
    <t>Co</t>
  </si>
  <si>
    <t>Special Screen</t>
  </si>
  <si>
    <t>Dice</t>
  </si>
  <si>
    <t>Numbers</t>
  </si>
  <si>
    <t>Righty</t>
  </si>
  <si>
    <t>Str</t>
  </si>
  <si>
    <t>24</t>
  </si>
  <si>
    <t>Curl Burst</t>
  </si>
  <si>
    <t>Special Chip Screen</t>
  </si>
  <si>
    <t>Dixie</t>
  </si>
  <si>
    <t>Edge</t>
  </si>
  <si>
    <t>Lefty</t>
  </si>
  <si>
    <t>25</t>
  </si>
  <si>
    <t>Trunk Target</t>
  </si>
  <si>
    <t>Dyno</t>
  </si>
  <si>
    <t>(+)</t>
  </si>
  <si>
    <t>Z Rt</t>
  </si>
  <si>
    <t>Split</t>
  </si>
  <si>
    <t>Y6</t>
  </si>
  <si>
    <t>Arches</t>
  </si>
  <si>
    <t>Stack</t>
  </si>
  <si>
    <t>(-)</t>
  </si>
  <si>
    <t>Z Lt</t>
  </si>
  <si>
    <t>Man</t>
  </si>
  <si>
    <t>Y7</t>
  </si>
  <si>
    <t>Corner</t>
  </si>
  <si>
    <t>South</t>
  </si>
  <si>
    <t>Extend</t>
  </si>
  <si>
    <t>Z Short</t>
  </si>
  <si>
    <t>Wash</t>
  </si>
  <si>
    <t>Flow 6</t>
  </si>
  <si>
    <t>Arches Clack</t>
  </si>
  <si>
    <t>Stamp</t>
  </si>
  <si>
    <t>Multiple</t>
  </si>
  <si>
    <t>Z Counter</t>
  </si>
  <si>
    <t>Wendy</t>
  </si>
  <si>
    <t>Flow 7</t>
  </si>
  <si>
    <t>Artichoke</t>
  </si>
  <si>
    <t>Swamp</t>
  </si>
  <si>
    <t>Z Mo</t>
  </si>
  <si>
    <t>Mike</t>
  </si>
  <si>
    <t>Play Pass (named for run)</t>
  </si>
  <si>
    <t>Storm</t>
  </si>
  <si>
    <t>Sink</t>
  </si>
  <si>
    <t>Lab</t>
  </si>
  <si>
    <t>Duo</t>
  </si>
  <si>
    <t>Shot Buffalo</t>
  </si>
  <si>
    <t>Rat</t>
  </si>
  <si>
    <t>Dos</t>
  </si>
  <si>
    <t>Lookie Ninja</t>
  </si>
  <si>
    <t>Fast</t>
  </si>
  <si>
    <t>Trixie</t>
  </si>
  <si>
    <t>Power</t>
  </si>
  <si>
    <t>Lookie Bamboo</t>
  </si>
  <si>
    <t>Fit</t>
  </si>
  <si>
    <t>Oscar</t>
  </si>
  <si>
    <t>Power Load</t>
  </si>
  <si>
    <t>Skinner Return</t>
  </si>
  <si>
    <t>Foot</t>
  </si>
  <si>
    <t>Reload</t>
  </si>
  <si>
    <t>Pop</t>
  </si>
  <si>
    <t>Scar Return Pile</t>
  </si>
  <si>
    <t>Crip</t>
  </si>
  <si>
    <t>Shift - other</t>
  </si>
  <si>
    <t>H Coco Mini</t>
  </si>
  <si>
    <t>Crack</t>
  </si>
  <si>
    <t>Stutter</t>
  </si>
  <si>
    <t>Mink Trash</t>
  </si>
  <si>
    <t>Crush</t>
  </si>
  <si>
    <t>Stanley</t>
  </si>
  <si>
    <t>Cash Stucko</t>
  </si>
  <si>
    <t>Cruz</t>
  </si>
  <si>
    <t>Sift</t>
  </si>
  <si>
    <t>Pull Shallow</t>
  </si>
  <si>
    <t>Gold</t>
  </si>
  <si>
    <t>Wipe</t>
  </si>
  <si>
    <t>Fun Swab</t>
  </si>
  <si>
    <t>Bone</t>
  </si>
  <si>
    <t>Jam</t>
  </si>
  <si>
    <t>Tree</t>
  </si>
  <si>
    <t>Wax</t>
  </si>
  <si>
    <t>Tree Swab</t>
  </si>
  <si>
    <t>Tank</t>
  </si>
  <si>
    <t>Tree Trash</t>
  </si>
  <si>
    <t>Sail Bingo</t>
  </si>
  <si>
    <t>Basic</t>
  </si>
  <si>
    <t>Special Comeback</t>
  </si>
  <si>
    <t>Scab Trash</t>
  </si>
  <si>
    <t>Spear</t>
  </si>
  <si>
    <t>Redskin</t>
  </si>
  <si>
    <t>Chief</t>
  </si>
  <si>
    <t>Cherokee</t>
  </si>
  <si>
    <t>Drive Chow</t>
  </si>
  <si>
    <t>Halo</t>
  </si>
  <si>
    <t>Shark</t>
  </si>
  <si>
    <t>Faucet</t>
  </si>
  <si>
    <t>Strike</t>
  </si>
  <si>
    <t>Web Strike-Swirl</t>
  </si>
  <si>
    <t>Dagger</t>
  </si>
  <si>
    <t>Bottle</t>
  </si>
  <si>
    <t>Throttle</t>
  </si>
  <si>
    <t>Punch Spock</t>
  </si>
  <si>
    <t>Leak</t>
  </si>
  <si>
    <t>Flood / Boot</t>
  </si>
  <si>
    <t>Waggle</t>
  </si>
  <si>
    <t>Weezy</t>
  </si>
  <si>
    <t>UNKNOWN - review</t>
  </si>
  <si>
    <t>ALL-22 CHART</t>
  </si>
  <si>
    <t>One row per snap. Fill the yellow columns; Play ID fills itself. Chart every play, then draw only the ones marked New Concept = Yes.</t>
  </si>
  <si>
    <t>Play ID</t>
  </si>
  <si>
    <t>Wk</t>
  </si>
  <si>
    <t>Qtr</t>
  </si>
  <si>
    <t>Dist</t>
  </si>
  <si>
    <t>Field Zone</t>
  </si>
  <si>
    <t>Form Family</t>
  </si>
  <si>
    <t>Adjust Tag</t>
  </si>
  <si>
    <t>Motion / Shift</t>
  </si>
  <si>
    <t>Play Type</t>
  </si>
  <si>
    <t>Run Family</t>
  </si>
  <si>
    <t>Run Tag</t>
  </si>
  <si>
    <t>Pass Concept</t>
  </si>
  <si>
    <t>Screen Type</t>
  </si>
  <si>
    <t>Keeper Fake?</t>
  </si>
  <si>
    <t>Target</t>
  </si>
  <si>
    <t>Yds</t>
  </si>
  <si>
    <t>New Concept?</t>
  </si>
  <si>
    <t>Drawn in PF?</t>
  </si>
  <si>
    <t>PlayForge Link</t>
  </si>
  <si>
    <t>Notes</t>
  </si>
  <si>
    <t>HB</t>
  </si>
  <si>
    <t>playforge-kohl.vercel.app/...</t>
  </si>
  <si>
    <t>EXAMPLE ROW - delete me. Tackle reached for width, two blockers outside him, back pressed then cut back to A.</t>
  </si>
  <si>
    <t>WHAT THE CHART IS TELLING YOU</t>
  </si>
  <si>
    <t>Total plays charted</t>
  </si>
  <si>
    <t>PLAY TYPE</t>
  </si>
  <si>
    <t>Plays</t>
  </si>
  <si>
    <t>% of charted</t>
  </si>
  <si>
    <t>Avg yds</t>
  </si>
  <si>
    <t>RUN FAMILY</t>
  </si>
  <si>
    <t>PERSONNEL</t>
  </si>
  <si>
    <t>BACKLOG</t>
  </si>
  <si>
    <t>New concepts found</t>
  </si>
  <si>
    <t>Still to draw in PlayForge</t>
  </si>
  <si>
    <t>Plays flagged UNKNOWN -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</si>
</sst>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font>
      <sz val="11"/>
      <color theme="1"/>
      <name val="Calibri"/>
      <family val="2"/>
      <charset val="1"/>
    </font>
    <font>
      <b/>
      <sz val="16"/>
      <color rgb="FF1F3864"/>
      <name val="Arial"/>
      <charset val="1"/>
    </font>
    <font>
      <b/>
      <sz val="10"/>
      <name val="Arial"/>
      <charset val="1"/>
    </font>
    <font>
      <sz val="10"/>
      <name val="Arial"/>
      <charset val="1"/>
    </font>
    <font>
      <b/>
      <sz val="10"/>
      <color rgb="FFFFFFFF"/>
      <name val="Arial"/>
      <charset val="1"/>
    </font>
    <font>
      <b/>
      <sz val="14"/>
      <color rgb="FF1F3864"/>
      <name val="Arial"/>
      <charset val="1"/>
    </font>
    <font>
      <i/>
      <sz val="9"/>
      <name val="Arial"/>
      <charset val="1"/>
    </font>
    <font>
      <i/>
      <sz val="10"/>
      <color rgb="FF000000"/>
      <name val="Arial"/>
      <charset val="1"/>
    </font>
    <font>
      <i/>
      <sz val="10"/>
      <color rgb="FF808080"/>
      <name val="Arial"/>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xf numFmtId="0" fontId="1" fillId="0" borderId="0" xfId="0" applyFont="1" applyAlignment="1"/>
    <xf numFmtId="0" fontId="2" fillId="0" borderId="0" xfId="0" applyFont="1" applyAlignment="1"/>
    <xf numFmtId="0" fontId="3" fillId="0" borderId="0" xfId="0" applyFont="1" applyAlignment="1">
      <alignment vertical="top" wrapText="1"/>
    </xf>
    <xf numFmtId="0" fontId="4" fillId="2" borderId="0" xfId="0" applyFont="1" applyFill="1" applyAlignment="1"/>
    <xf numFmtId="0" fontId="0" fillId="2" borderId="0" xfId="0" applyFill="1" applyAlignment="1"/>
    <xf numFmtId="0" fontId="5" fillId="0" borderId="0" xfId="0" applyFont="1" applyAlignment="1"/>
    <xf numFmtId="0" fontId="6" fillId="0" borderId="0" xfId="0" applyFont="1" applyAlignment="1"/>
    <xf numFmtId="0" fontId="3" fillId="0" borderId="0" xfId="0" applyFont="1" applyAlignment="1"/>
    <xf numFmtId="0" fontId="4" fillId="2" borderId="1" xfId="0" applyFont="1" applyFill="1" applyBorder="1" applyAlignment="1">
      <alignment horizontal="center" vertical="center" wrapText="1"/>
    </xf>
    <xf numFmtId="0" fontId="7" fillId="0" borderId="0" xfId="0" applyFont="1" applyAlignment="1">
      <alignment horizontal="center"/>
    </xf>
    <xf numFmtId="0" fontId="8" fillId="3" borderId="0" xfId="0" applyFont="1" applyFill="1" applyAlignment="1"/>
    <xf numFmtId="0" fontId="3" fillId="3" borderId="0" xfId="0" applyFont="1" applyFill="1" applyAlignment="1"/>
    <xf numFmtId="164" fontId="3" fillId="0" borderId="0" xfId="0" applyNumberFormat="1" applyFont="1" applyAlignment="1"/>
    <xf numFmtId="165" fontId="3" fillId="0" borderId="0" xfId="0" applyNumberFormat="1"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zoomScaleNormal="100" workbookViewId="0"/>
  </sheetViews>
  <sheetFormatPr defaultColWidth="8.7109375" defaultRowHeight="15"/>
  <cols>
    <col min="1" max="1" width="30" style="1" customWidth="1"/>
    <col min="2" max="2" width="108" style="1" customWidth="1"/>
  </cols>
  <sheetData>
    <row r="1" spans="1:2" ht="19.5" customHeight="1">
      <c r="A1" s="2" t="s">
        <v>0</v>
      </c>
    </row>
    <row r="3" spans="1:2" ht="15" customHeight="1">
      <c r="A3" s="3"/>
      <c r="B3" s="4"/>
    </row>
    <row r="4" spans="1:2" ht="15" customHeight="1">
      <c r="A4" s="5" t="s">
        <v>1</v>
      </c>
      <c r="B4" s="6"/>
    </row>
    <row r="5" spans="1:2" ht="15" customHeight="1">
      <c r="A5" s="3" t="s">
        <v>2</v>
      </c>
      <c r="B5" s="4" t="s">
        <v>3</v>
      </c>
    </row>
    <row r="6" spans="1:2" ht="15" customHeight="1">
      <c r="A6" s="3" t="s">
        <v>4</v>
      </c>
      <c r="B6" s="4" t="s">
        <v>5</v>
      </c>
    </row>
    <row r="7" spans="1:2" ht="15" customHeight="1">
      <c r="A7" s="3" t="s">
        <v>6</v>
      </c>
      <c r="B7" s="4" t="s">
        <v>7</v>
      </c>
    </row>
    <row r="8" spans="1:2" ht="15" customHeight="1">
      <c r="A8" s="3" t="s">
        <v>8</v>
      </c>
      <c r="B8" s="4" t="s">
        <v>9</v>
      </c>
    </row>
    <row r="9" spans="1:2" ht="15" customHeight="1">
      <c r="A9" s="3"/>
      <c r="B9" s="4"/>
    </row>
    <row r="10" spans="1:2" ht="15" customHeight="1">
      <c r="A10" s="5" t="s">
        <v>10</v>
      </c>
      <c r="B10" s="6"/>
    </row>
    <row r="11" spans="1:2" ht="15" customHeight="1">
      <c r="A11" s="3" t="s">
        <v>11</v>
      </c>
      <c r="B11" s="4" t="s">
        <v>12</v>
      </c>
    </row>
    <row r="12" spans="1:2" ht="23.25" customHeight="1">
      <c r="A12" s="3" t="s">
        <v>13</v>
      </c>
      <c r="B12" s="4" t="s">
        <v>14</v>
      </c>
    </row>
    <row r="13" spans="1:2" ht="23.25" customHeight="1">
      <c r="A13" s="3" t="s">
        <v>15</v>
      </c>
      <c r="B13" s="4" t="s">
        <v>16</v>
      </c>
    </row>
    <row r="14" spans="1:2" ht="15" customHeight="1">
      <c r="A14" s="3"/>
      <c r="B14" s="4"/>
    </row>
    <row r="15" spans="1:2" ht="15" customHeight="1">
      <c r="A15" s="5" t="s">
        <v>17</v>
      </c>
      <c r="B15" s="6"/>
    </row>
    <row r="16" spans="1:2" ht="15" customHeight="1">
      <c r="A16" s="3" t="s">
        <v>18</v>
      </c>
      <c r="B16" s="4" t="s">
        <v>19</v>
      </c>
    </row>
    <row r="17" spans="1:2" ht="23.25" customHeight="1">
      <c r="A17" s="3" t="s">
        <v>20</v>
      </c>
      <c r="B17" s="4" t="s">
        <v>21</v>
      </c>
    </row>
    <row r="18" spans="1:2" ht="23.25" customHeight="1">
      <c r="A18" s="3" t="s">
        <v>22</v>
      </c>
      <c r="B18" s="4" t="s">
        <v>23</v>
      </c>
    </row>
    <row r="19" spans="1:2" ht="23.25" customHeight="1">
      <c r="A19" s="3" t="s">
        <v>24</v>
      </c>
      <c r="B19" s="4" t="s">
        <v>25</v>
      </c>
    </row>
    <row r="20" spans="1:2" ht="15" customHeight="1">
      <c r="A20" s="3"/>
      <c r="B20" s="4"/>
    </row>
    <row r="21" spans="1:2" ht="15" customHeight="1">
      <c r="A21" s="5" t="s">
        <v>26</v>
      </c>
      <c r="B21" s="6"/>
    </row>
    <row r="22" spans="1:2" ht="15" customHeight="1">
      <c r="A22" s="3" t="s">
        <v>27</v>
      </c>
      <c r="B22" s="4" t="s">
        <v>28</v>
      </c>
    </row>
    <row r="23" spans="1:2" ht="15" customHeight="1">
      <c r="A23" s="3" t="s">
        <v>29</v>
      </c>
      <c r="B23" s="4" t="s">
        <v>30</v>
      </c>
    </row>
    <row r="24" spans="1:2" ht="15" customHeight="1">
      <c r="A24" s="3" t="s">
        <v>31</v>
      </c>
      <c r="B24" s="4" t="s">
        <v>32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5"/>
  <sheetViews>
    <sheetView zoomScaleNormal="100" workbookViewId="0">
      <pane ySplit="4" topLeftCell="A5" activePane="bottomLeft" state="frozen"/>
      <selection pane="bottomLeft"/>
    </sheetView>
  </sheetViews>
  <sheetFormatPr defaultColWidth="8.7109375" defaultRowHeight="15"/>
  <cols>
    <col min="1" max="1" width="15" style="1" customWidth="1"/>
    <col min="2" max="2" width="16" style="1" customWidth="1"/>
    <col min="3" max="3" width="15" style="1" customWidth="1"/>
    <col min="4" max="6" width="14" style="1" customWidth="1"/>
    <col min="7" max="7" width="15" style="1" customWidth="1"/>
    <col min="8" max="8" width="14" style="1" customWidth="1"/>
    <col min="9" max="9" width="15" style="1" customWidth="1"/>
    <col min="10" max="10" width="14" style="1" customWidth="1"/>
    <col min="11" max="11" width="16" style="1" customWidth="1"/>
    <col min="12" max="17" width="14" style="1" customWidth="1"/>
    <col min="18" max="18" width="15" style="1" customWidth="1"/>
    <col min="19" max="22" width="14" style="1" customWidth="1"/>
  </cols>
  <sheetData>
    <row r="1" spans="1:22" ht="17.25" customHeight="1">
      <c r="A1" s="7" t="s">
        <v>33</v>
      </c>
    </row>
    <row r="2" spans="1:22" ht="15" customHeight="1">
      <c r="A2" s="8" t="s">
        <v>34</v>
      </c>
    </row>
    <row r="4" spans="1:22" ht="15" customHeight="1">
      <c r="A4" s="5" t="s">
        <v>35</v>
      </c>
      <c r="B4" s="5" t="s">
        <v>36</v>
      </c>
      <c r="C4" s="5" t="s">
        <v>37</v>
      </c>
      <c r="D4" s="5" t="s">
        <v>38</v>
      </c>
      <c r="E4" s="5" t="s">
        <v>39</v>
      </c>
      <c r="F4" s="5" t="s">
        <v>40</v>
      </c>
      <c r="G4" s="5" t="s">
        <v>41</v>
      </c>
      <c r="H4" s="5" t="s">
        <v>42</v>
      </c>
      <c r="I4" s="5" t="s">
        <v>43</v>
      </c>
      <c r="J4" s="5" t="s">
        <v>44</v>
      </c>
      <c r="K4" s="5" t="s">
        <v>45</v>
      </c>
      <c r="L4" s="5" t="s">
        <v>46</v>
      </c>
      <c r="M4" s="5" t="s">
        <v>47</v>
      </c>
      <c r="N4" s="5" t="s">
        <v>48</v>
      </c>
      <c r="O4" s="5" t="s">
        <v>49</v>
      </c>
      <c r="P4" s="5" t="s">
        <v>50</v>
      </c>
      <c r="Q4" s="5" t="s">
        <v>51</v>
      </c>
      <c r="R4" s="5" t="s">
        <v>52</v>
      </c>
      <c r="S4" s="5" t="s">
        <v>53</v>
      </c>
      <c r="T4" s="5" t="s">
        <v>54</v>
      </c>
      <c r="U4" s="5" t="s">
        <v>55</v>
      </c>
      <c r="V4" s="5" t="s">
        <v>56</v>
      </c>
    </row>
    <row r="5" spans="1:22" ht="15" customHeight="1">
      <c r="A5" s="9" t="s">
        <v>57</v>
      </c>
      <c r="B5" s="9" t="s">
        <v>58</v>
      </c>
      <c r="C5" s="9" t="s">
        <v>59</v>
      </c>
      <c r="D5" s="9" t="s">
        <v>60</v>
      </c>
      <c r="E5" s="9" t="s">
        <v>61</v>
      </c>
      <c r="F5" s="9" t="s">
        <v>61</v>
      </c>
      <c r="G5" s="9" t="s">
        <v>62</v>
      </c>
      <c r="H5" s="9" t="s">
        <v>63</v>
      </c>
      <c r="I5" s="9" t="s">
        <v>64</v>
      </c>
      <c r="J5" s="9" t="s">
        <v>61</v>
      </c>
      <c r="K5" s="9" t="s">
        <v>65</v>
      </c>
      <c r="L5" s="9" t="s">
        <v>66</v>
      </c>
      <c r="M5" s="9" t="s">
        <v>67</v>
      </c>
      <c r="N5" s="9" t="s">
        <v>68</v>
      </c>
      <c r="O5" s="9" t="s">
        <v>69</v>
      </c>
      <c r="P5" s="9" t="s">
        <v>70</v>
      </c>
      <c r="Q5" s="9" t="s">
        <v>71</v>
      </c>
      <c r="R5" s="9" t="s">
        <v>72</v>
      </c>
      <c r="S5" s="9" t="s">
        <v>73</v>
      </c>
      <c r="T5" s="9" t="s">
        <v>74</v>
      </c>
      <c r="U5" s="9" t="s">
        <v>75</v>
      </c>
      <c r="V5" s="9" t="s">
        <v>76</v>
      </c>
    </row>
    <row r="6" spans="1:22" ht="15" customHeight="1">
      <c r="A6" s="9" t="s">
        <v>77</v>
      </c>
      <c r="B6" s="9" t="s">
        <v>78</v>
      </c>
      <c r="C6" s="9" t="s">
        <v>79</v>
      </c>
      <c r="D6" s="9" t="s">
        <v>80</v>
      </c>
      <c r="E6" s="9" t="s">
        <v>81</v>
      </c>
      <c r="F6" s="9" t="s">
        <v>82</v>
      </c>
      <c r="G6" s="9" t="s">
        <v>83</v>
      </c>
      <c r="H6" s="9" t="s">
        <v>84</v>
      </c>
      <c r="I6" s="9" t="s">
        <v>85</v>
      </c>
      <c r="J6" s="9" t="s">
        <v>86</v>
      </c>
      <c r="K6" s="9" t="s">
        <v>87</v>
      </c>
      <c r="L6" s="9" t="s">
        <v>88</v>
      </c>
      <c r="M6" s="9" t="s">
        <v>89</v>
      </c>
      <c r="N6" s="9" t="s">
        <v>90</v>
      </c>
      <c r="O6" s="9" t="s">
        <v>91</v>
      </c>
      <c r="P6" s="9" t="s">
        <v>92</v>
      </c>
      <c r="Q6" s="9" t="s">
        <v>93</v>
      </c>
      <c r="R6" s="9" t="s">
        <v>94</v>
      </c>
      <c r="S6" s="9" t="s">
        <v>95</v>
      </c>
      <c r="T6" s="9" t="s">
        <v>96</v>
      </c>
      <c r="U6" s="9" t="s">
        <v>76</v>
      </c>
      <c r="V6" s="9" t="s">
        <v>75</v>
      </c>
    </row>
    <row r="7" spans="1:22" ht="15" customHeight="1">
      <c r="A7" s="9" t="s">
        <v>97</v>
      </c>
      <c r="B7" s="9" t="s">
        <v>98</v>
      </c>
      <c r="C7" s="9" t="s">
        <v>99</v>
      </c>
      <c r="E7" s="9" t="s">
        <v>100</v>
      </c>
      <c r="F7" s="9" t="s">
        <v>101</v>
      </c>
      <c r="G7" s="9" t="s">
        <v>102</v>
      </c>
      <c r="H7" s="9" t="s">
        <v>103</v>
      </c>
      <c r="I7" s="9" t="s">
        <v>104</v>
      </c>
      <c r="J7" s="9" t="s">
        <v>105</v>
      </c>
      <c r="K7" s="9" t="s">
        <v>106</v>
      </c>
      <c r="L7" s="9" t="s">
        <v>107</v>
      </c>
      <c r="M7" s="9" t="s">
        <v>108</v>
      </c>
      <c r="N7" s="9" t="s">
        <v>109</v>
      </c>
      <c r="O7" s="9" t="s">
        <v>110</v>
      </c>
      <c r="P7" s="9" t="s">
        <v>111</v>
      </c>
      <c r="Q7" s="9" t="s">
        <v>112</v>
      </c>
      <c r="R7" s="9" t="s">
        <v>113</v>
      </c>
      <c r="S7" s="9" t="s">
        <v>114</v>
      </c>
      <c r="T7" s="9" t="s">
        <v>115</v>
      </c>
      <c r="V7" s="9" t="s">
        <v>116</v>
      </c>
    </row>
    <row r="8" spans="1:22" ht="15" customHeight="1">
      <c r="A8" s="9" t="s">
        <v>117</v>
      </c>
      <c r="B8" s="9" t="s">
        <v>118</v>
      </c>
      <c r="C8" s="9" t="s">
        <v>119</v>
      </c>
      <c r="E8" s="9" t="s">
        <v>120</v>
      </c>
      <c r="F8" s="9" t="s">
        <v>121</v>
      </c>
      <c r="G8" s="9" t="s">
        <v>122</v>
      </c>
      <c r="H8" s="9" t="s">
        <v>123</v>
      </c>
      <c r="I8" s="9" t="s">
        <v>124</v>
      </c>
      <c r="J8" s="9" t="s">
        <v>125</v>
      </c>
      <c r="K8" s="9" t="s">
        <v>126</v>
      </c>
      <c r="L8" s="9" t="s">
        <v>127</v>
      </c>
      <c r="M8" s="9" t="s">
        <v>128</v>
      </c>
      <c r="N8" s="9" t="s">
        <v>129</v>
      </c>
      <c r="O8" s="9" t="s">
        <v>130</v>
      </c>
      <c r="P8" s="9" t="s">
        <v>131</v>
      </c>
      <c r="R8" s="9" t="s">
        <v>132</v>
      </c>
      <c r="S8" s="9" t="s">
        <v>133</v>
      </c>
      <c r="T8" s="9" t="s">
        <v>134</v>
      </c>
    </row>
    <row r="9" spans="1:22" ht="15" customHeight="1">
      <c r="A9" s="9" t="s">
        <v>135</v>
      </c>
      <c r="B9" s="9" t="s">
        <v>136</v>
      </c>
      <c r="C9" s="9" t="s">
        <v>137</v>
      </c>
      <c r="E9" s="9" t="s">
        <v>138</v>
      </c>
      <c r="F9" s="9" t="s">
        <v>139</v>
      </c>
      <c r="H9" s="9" t="s">
        <v>140</v>
      </c>
      <c r="I9" s="9" t="s">
        <v>141</v>
      </c>
      <c r="J9" s="9" t="s">
        <v>142</v>
      </c>
      <c r="K9" s="9" t="s">
        <v>143</v>
      </c>
      <c r="L9" s="9" t="s">
        <v>144</v>
      </c>
      <c r="M9" s="9" t="s">
        <v>145</v>
      </c>
      <c r="N9" s="9" t="s">
        <v>146</v>
      </c>
      <c r="O9" s="9" t="s">
        <v>147</v>
      </c>
      <c r="P9" s="9" t="s">
        <v>148</v>
      </c>
      <c r="R9" s="9" t="s">
        <v>149</v>
      </c>
      <c r="T9" s="9" t="s">
        <v>150</v>
      </c>
    </row>
    <row r="10" spans="1:22" ht="15" customHeight="1">
      <c r="A10" s="9" t="s">
        <v>151</v>
      </c>
      <c r="B10" s="9" t="s">
        <v>152</v>
      </c>
      <c r="C10" s="9" t="s">
        <v>153</v>
      </c>
      <c r="E10" s="9" t="s">
        <v>154</v>
      </c>
      <c r="F10" s="9" t="s">
        <v>155</v>
      </c>
      <c r="H10" s="9" t="s">
        <v>156</v>
      </c>
      <c r="I10" s="9" t="s">
        <v>157</v>
      </c>
      <c r="J10" s="9" t="s">
        <v>158</v>
      </c>
      <c r="K10" s="9" t="s">
        <v>159</v>
      </c>
      <c r="L10" s="9" t="s">
        <v>160</v>
      </c>
      <c r="M10" s="9" t="s">
        <v>161</v>
      </c>
      <c r="N10" s="9" t="s">
        <v>162</v>
      </c>
      <c r="O10" s="9" t="s">
        <v>163</v>
      </c>
      <c r="P10" s="9" t="s">
        <v>164</v>
      </c>
      <c r="R10" s="9" t="s">
        <v>165</v>
      </c>
      <c r="T10" s="9" t="s">
        <v>166</v>
      </c>
    </row>
    <row r="11" spans="1:22" ht="15" customHeight="1">
      <c r="A11" s="9" t="s">
        <v>167</v>
      </c>
      <c r="B11" s="9" t="s">
        <v>168</v>
      </c>
      <c r="C11" s="9" t="s">
        <v>169</v>
      </c>
      <c r="E11" s="9" t="s">
        <v>170</v>
      </c>
      <c r="F11" s="9" t="s">
        <v>171</v>
      </c>
      <c r="H11" s="9" t="s">
        <v>47</v>
      </c>
      <c r="I11" s="9" t="s">
        <v>172</v>
      </c>
      <c r="J11" s="9" t="s">
        <v>173</v>
      </c>
      <c r="K11" s="9" t="s">
        <v>174</v>
      </c>
      <c r="L11" s="9" t="s">
        <v>175</v>
      </c>
      <c r="M11" s="9" t="s">
        <v>176</v>
      </c>
      <c r="N11" s="9" t="s">
        <v>177</v>
      </c>
      <c r="O11" s="9" t="s">
        <v>178</v>
      </c>
      <c r="P11" s="9" t="s">
        <v>179</v>
      </c>
      <c r="R11" s="9" t="s">
        <v>180</v>
      </c>
      <c r="T11" s="9" t="s">
        <v>181</v>
      </c>
    </row>
    <row r="12" spans="1:22" ht="15" customHeight="1">
      <c r="A12" s="9" t="s">
        <v>182</v>
      </c>
      <c r="B12" s="9" t="s">
        <v>183</v>
      </c>
      <c r="C12" s="9" t="s">
        <v>184</v>
      </c>
      <c r="E12" s="9" t="s">
        <v>185</v>
      </c>
      <c r="F12" s="9" t="s">
        <v>186</v>
      </c>
      <c r="H12" s="9" t="s">
        <v>187</v>
      </c>
      <c r="I12" s="9" t="s">
        <v>188</v>
      </c>
      <c r="J12" s="9" t="s">
        <v>189</v>
      </c>
      <c r="K12" s="9" t="s">
        <v>117</v>
      </c>
      <c r="L12" s="9" t="s">
        <v>190</v>
      </c>
      <c r="M12" s="9" t="s">
        <v>191</v>
      </c>
      <c r="N12" s="9" t="s">
        <v>192</v>
      </c>
      <c r="O12" s="9" t="s">
        <v>193</v>
      </c>
      <c r="P12" s="9" t="s">
        <v>194</v>
      </c>
      <c r="R12" s="9" t="s">
        <v>195</v>
      </c>
      <c r="T12" s="9" t="s">
        <v>196</v>
      </c>
    </row>
    <row r="13" spans="1:22" ht="15" customHeight="1">
      <c r="A13" s="9" t="s">
        <v>197</v>
      </c>
      <c r="B13" s="9" t="s">
        <v>198</v>
      </c>
      <c r="C13" s="9" t="s">
        <v>199</v>
      </c>
      <c r="E13" s="9" t="s">
        <v>200</v>
      </c>
      <c r="F13" s="9" t="s">
        <v>201</v>
      </c>
      <c r="H13" s="9" t="s">
        <v>202</v>
      </c>
      <c r="I13" s="9" t="s">
        <v>203</v>
      </c>
      <c r="J13" s="9" t="s">
        <v>204</v>
      </c>
      <c r="K13" s="9" t="s">
        <v>57</v>
      </c>
      <c r="L13" s="9" t="s">
        <v>205</v>
      </c>
      <c r="M13" s="9" t="s">
        <v>206</v>
      </c>
      <c r="N13" s="9" t="s">
        <v>207</v>
      </c>
      <c r="O13" s="9" t="s">
        <v>208</v>
      </c>
      <c r="T13" s="9" t="s">
        <v>209</v>
      </c>
    </row>
    <row r="14" spans="1:22" ht="15" customHeight="1">
      <c r="A14" s="9" t="s">
        <v>210</v>
      </c>
      <c r="B14" s="9" t="s">
        <v>122</v>
      </c>
      <c r="C14" s="9" t="s">
        <v>211</v>
      </c>
      <c r="E14" s="9" t="s">
        <v>212</v>
      </c>
      <c r="F14" s="9" t="s">
        <v>213</v>
      </c>
      <c r="H14" s="9" t="s">
        <v>214</v>
      </c>
      <c r="I14" s="9" t="s">
        <v>215</v>
      </c>
      <c r="J14" s="9" t="s">
        <v>216</v>
      </c>
      <c r="K14" s="9" t="s">
        <v>217</v>
      </c>
      <c r="L14" s="9" t="s">
        <v>218</v>
      </c>
      <c r="M14" s="9" t="s">
        <v>219</v>
      </c>
      <c r="N14" s="9" t="s">
        <v>203</v>
      </c>
      <c r="O14" s="9" t="s">
        <v>220</v>
      </c>
      <c r="T14" s="9" t="s">
        <v>221</v>
      </c>
    </row>
    <row r="15" spans="1:22" ht="15" customHeight="1">
      <c r="A15" s="9" t="s">
        <v>222</v>
      </c>
      <c r="B15" s="9" t="s">
        <v>203</v>
      </c>
      <c r="C15" s="9" t="s">
        <v>223</v>
      </c>
      <c r="E15" s="9" t="s">
        <v>224</v>
      </c>
      <c r="F15" s="9" t="s">
        <v>225</v>
      </c>
      <c r="I15" s="9" t="s">
        <v>67</v>
      </c>
      <c r="J15" s="9" t="s">
        <v>226</v>
      </c>
      <c r="K15" s="9" t="s">
        <v>227</v>
      </c>
      <c r="L15" s="9" t="s">
        <v>228</v>
      </c>
      <c r="M15" s="9" t="s">
        <v>229</v>
      </c>
      <c r="N15" s="9" t="s">
        <v>194</v>
      </c>
      <c r="O15" s="9" t="s">
        <v>230</v>
      </c>
      <c r="T15" s="9" t="s">
        <v>202</v>
      </c>
    </row>
    <row r="16" spans="1:22" ht="15" customHeight="1">
      <c r="A16" s="9" t="s">
        <v>231</v>
      </c>
      <c r="B16" s="9" t="s">
        <v>194</v>
      </c>
      <c r="C16" s="9" t="s">
        <v>232</v>
      </c>
      <c r="E16" s="9" t="s">
        <v>233</v>
      </c>
      <c r="F16" s="9" t="s">
        <v>234</v>
      </c>
      <c r="I16" s="9" t="s">
        <v>194</v>
      </c>
      <c r="J16" s="9" t="s">
        <v>235</v>
      </c>
      <c r="K16" s="9" t="s">
        <v>236</v>
      </c>
      <c r="L16" s="9" t="s">
        <v>237</v>
      </c>
      <c r="M16" s="9" t="s">
        <v>238</v>
      </c>
      <c r="O16" s="9" t="s">
        <v>239</v>
      </c>
    </row>
    <row r="17" spans="1:15" ht="15" customHeight="1">
      <c r="A17" s="9" t="s">
        <v>240</v>
      </c>
      <c r="C17" s="9" t="s">
        <v>241</v>
      </c>
      <c r="E17" s="9" t="s">
        <v>242</v>
      </c>
      <c r="F17" s="9" t="s">
        <v>243</v>
      </c>
      <c r="J17" s="9" t="s">
        <v>244</v>
      </c>
      <c r="K17" s="9" t="s">
        <v>245</v>
      </c>
      <c r="L17" s="9" t="s">
        <v>246</v>
      </c>
      <c r="M17" s="9" t="s">
        <v>247</v>
      </c>
      <c r="O17" s="9" t="s">
        <v>194</v>
      </c>
    </row>
    <row r="18" spans="1:15" ht="15" customHeight="1">
      <c r="A18" s="9" t="s">
        <v>248</v>
      </c>
      <c r="C18" s="9" t="s">
        <v>249</v>
      </c>
      <c r="E18" s="9" t="s">
        <v>250</v>
      </c>
      <c r="F18" s="9" t="s">
        <v>251</v>
      </c>
      <c r="J18" s="9" t="s">
        <v>252</v>
      </c>
      <c r="K18" s="9" t="s">
        <v>253</v>
      </c>
      <c r="L18" s="9" t="s">
        <v>254</v>
      </c>
      <c r="M18" s="9" t="s">
        <v>255</v>
      </c>
    </row>
    <row r="19" spans="1:15" ht="15" customHeight="1">
      <c r="C19" s="9" t="s">
        <v>256</v>
      </c>
      <c r="E19" s="9" t="s">
        <v>257</v>
      </c>
      <c r="F19" s="9" t="s">
        <v>258</v>
      </c>
      <c r="J19" s="9" t="s">
        <v>259</v>
      </c>
      <c r="K19" s="9" t="s">
        <v>260</v>
      </c>
      <c r="L19" s="9" t="s">
        <v>261</v>
      </c>
      <c r="M19" s="9" t="s">
        <v>262</v>
      </c>
    </row>
    <row r="20" spans="1:15" ht="15" customHeight="1">
      <c r="C20" s="9" t="s">
        <v>263</v>
      </c>
      <c r="E20" s="9" t="s">
        <v>264</v>
      </c>
      <c r="F20" s="9" t="s">
        <v>265</v>
      </c>
      <c r="J20" s="9" t="s">
        <v>266</v>
      </c>
      <c r="K20" s="9" t="s">
        <v>267</v>
      </c>
      <c r="L20" s="9" t="s">
        <v>268</v>
      </c>
      <c r="M20" s="9" t="s">
        <v>269</v>
      </c>
    </row>
    <row r="21" spans="1:15" ht="15" customHeight="1">
      <c r="C21" s="9" t="s">
        <v>270</v>
      </c>
      <c r="E21" s="9" t="s">
        <v>271</v>
      </c>
      <c r="F21" s="9" t="s">
        <v>272</v>
      </c>
      <c r="J21" s="9" t="s">
        <v>273</v>
      </c>
      <c r="K21" s="9" t="s">
        <v>274</v>
      </c>
      <c r="L21" s="9" t="s">
        <v>275</v>
      </c>
      <c r="M21" s="9" t="s">
        <v>276</v>
      </c>
    </row>
    <row r="22" spans="1:15" ht="15" customHeight="1">
      <c r="C22" s="9" t="s">
        <v>277</v>
      </c>
      <c r="E22" s="9" t="s">
        <v>278</v>
      </c>
      <c r="F22" s="9" t="s">
        <v>279</v>
      </c>
      <c r="J22" s="9" t="s">
        <v>280</v>
      </c>
      <c r="K22" s="9" t="s">
        <v>281</v>
      </c>
      <c r="L22" s="9" t="s">
        <v>282</v>
      </c>
      <c r="M22" s="9" t="s">
        <v>283</v>
      </c>
    </row>
    <row r="23" spans="1:15" ht="15" customHeight="1">
      <c r="C23" s="9" t="s">
        <v>284</v>
      </c>
      <c r="E23" s="9" t="s">
        <v>285</v>
      </c>
      <c r="F23" s="9" t="s">
        <v>286</v>
      </c>
      <c r="J23" s="9" t="s">
        <v>99</v>
      </c>
      <c r="K23" s="9" t="s">
        <v>287</v>
      </c>
      <c r="L23" s="9" t="s">
        <v>288</v>
      </c>
    </row>
    <row r="24" spans="1:15" ht="15" customHeight="1">
      <c r="C24" s="9" t="s">
        <v>289</v>
      </c>
      <c r="E24" s="9" t="s">
        <v>290</v>
      </c>
      <c r="F24" s="9" t="s">
        <v>291</v>
      </c>
      <c r="J24" s="9" t="s">
        <v>292</v>
      </c>
      <c r="K24" s="9" t="s">
        <v>293</v>
      </c>
      <c r="L24" s="9" t="s">
        <v>294</v>
      </c>
    </row>
    <row r="25" spans="1:15" ht="15" customHeight="1">
      <c r="C25" s="9" t="s">
        <v>295</v>
      </c>
      <c r="E25" s="9" t="s">
        <v>296</v>
      </c>
      <c r="F25" s="9" t="s">
        <v>297</v>
      </c>
      <c r="J25" s="9" t="s">
        <v>298</v>
      </c>
      <c r="K25" s="9" t="s">
        <v>299</v>
      </c>
      <c r="L25" s="9" t="s">
        <v>300</v>
      </c>
    </row>
    <row r="26" spans="1:15" ht="15" customHeight="1">
      <c r="C26" s="9" t="s">
        <v>301</v>
      </c>
      <c r="E26" s="9" t="s">
        <v>302</v>
      </c>
      <c r="F26" s="9" t="s">
        <v>303</v>
      </c>
      <c r="J26" s="9" t="s">
        <v>304</v>
      </c>
      <c r="K26" s="9" t="s">
        <v>305</v>
      </c>
      <c r="L26" s="9" t="s">
        <v>306</v>
      </c>
    </row>
    <row r="27" spans="1:15" ht="15" customHeight="1">
      <c r="C27" s="9" t="s">
        <v>307</v>
      </c>
      <c r="E27" s="9" t="s">
        <v>308</v>
      </c>
      <c r="F27" s="9" t="s">
        <v>309</v>
      </c>
      <c r="J27" s="9" t="s">
        <v>310</v>
      </c>
      <c r="K27" s="9" t="s">
        <v>311</v>
      </c>
      <c r="L27" s="9" t="s">
        <v>312</v>
      </c>
    </row>
    <row r="28" spans="1:15" ht="15" customHeight="1">
      <c r="C28" s="9" t="s">
        <v>313</v>
      </c>
      <c r="F28" s="9" t="s">
        <v>314</v>
      </c>
      <c r="J28" s="9" t="s">
        <v>315</v>
      </c>
      <c r="K28" s="9" t="s">
        <v>316</v>
      </c>
      <c r="L28" s="9" t="s">
        <v>317</v>
      </c>
    </row>
    <row r="29" spans="1:15" ht="15" customHeight="1">
      <c r="C29" s="9" t="s">
        <v>318</v>
      </c>
      <c r="F29" s="9" t="s">
        <v>319</v>
      </c>
      <c r="J29" s="9" t="s">
        <v>320</v>
      </c>
      <c r="K29" s="9" t="s">
        <v>47</v>
      </c>
      <c r="L29" s="9" t="s">
        <v>321</v>
      </c>
    </row>
    <row r="30" spans="1:15" ht="15" customHeight="1">
      <c r="C30" s="9" t="s">
        <v>257</v>
      </c>
      <c r="F30" s="9" t="s">
        <v>322</v>
      </c>
      <c r="J30" s="9" t="s">
        <v>323</v>
      </c>
      <c r="K30" s="9" t="s">
        <v>67</v>
      </c>
      <c r="L30" s="9" t="s">
        <v>324</v>
      </c>
    </row>
    <row r="31" spans="1:15" ht="15" customHeight="1">
      <c r="C31" s="9" t="s">
        <v>325</v>
      </c>
      <c r="F31" s="9" t="s">
        <v>326</v>
      </c>
      <c r="J31" s="9" t="s">
        <v>327</v>
      </c>
      <c r="K31" s="9" t="s">
        <v>194</v>
      </c>
      <c r="L31" s="9" t="s">
        <v>328</v>
      </c>
    </row>
    <row r="32" spans="1:15" ht="15" customHeight="1">
      <c r="C32" s="9" t="s">
        <v>329</v>
      </c>
      <c r="F32" s="9" t="s">
        <v>330</v>
      </c>
      <c r="J32" s="9" t="s">
        <v>331</v>
      </c>
      <c r="L32" s="9" t="s">
        <v>332</v>
      </c>
    </row>
    <row r="33" spans="3:12" ht="15" customHeight="1">
      <c r="C33" s="9" t="s">
        <v>333</v>
      </c>
      <c r="F33" s="9" t="s">
        <v>334</v>
      </c>
      <c r="J33" s="9" t="s">
        <v>335</v>
      </c>
      <c r="L33" s="9" t="s">
        <v>336</v>
      </c>
    </row>
    <row r="34" spans="3:12" ht="15" customHeight="1">
      <c r="C34" s="9" t="s">
        <v>337</v>
      </c>
      <c r="F34" s="9" t="s">
        <v>338</v>
      </c>
      <c r="J34" s="9" t="s">
        <v>258</v>
      </c>
      <c r="L34" s="9" t="s">
        <v>339</v>
      </c>
    </row>
    <row r="35" spans="3:12" ht="15" customHeight="1">
      <c r="C35" s="9" t="s">
        <v>340</v>
      </c>
      <c r="J35" s="9" t="s">
        <v>341</v>
      </c>
      <c r="L35" s="9" t="s">
        <v>342</v>
      </c>
    </row>
    <row r="36" spans="3:12" ht="15" customHeight="1">
      <c r="C36" s="9" t="s">
        <v>343</v>
      </c>
      <c r="J36" s="9" t="s">
        <v>344</v>
      </c>
      <c r="L36" s="9" t="s">
        <v>345</v>
      </c>
    </row>
    <row r="37" spans="3:12" ht="15" customHeight="1">
      <c r="C37" s="9" t="s">
        <v>346</v>
      </c>
      <c r="J37" s="9" t="s">
        <v>347</v>
      </c>
      <c r="L37" s="9" t="s">
        <v>348</v>
      </c>
    </row>
    <row r="38" spans="3:12" ht="15" customHeight="1">
      <c r="C38" s="9" t="s">
        <v>349</v>
      </c>
      <c r="J38" s="9" t="s">
        <v>350</v>
      </c>
      <c r="L38" s="9" t="s">
        <v>351</v>
      </c>
    </row>
    <row r="39" spans="3:12" ht="15" customHeight="1">
      <c r="C39" s="9" t="s">
        <v>352</v>
      </c>
      <c r="J39" s="9" t="s">
        <v>353</v>
      </c>
      <c r="L39" s="9" t="s">
        <v>354</v>
      </c>
    </row>
    <row r="40" spans="3:12" ht="15" customHeight="1">
      <c r="C40" s="9" t="s">
        <v>355</v>
      </c>
      <c r="J40" s="9" t="s">
        <v>109</v>
      </c>
      <c r="L40" s="9" t="s">
        <v>356</v>
      </c>
    </row>
    <row r="41" spans="3:12" ht="15" customHeight="1">
      <c r="C41" s="9" t="s">
        <v>357</v>
      </c>
      <c r="J41" s="9" t="s">
        <v>162</v>
      </c>
      <c r="L41" s="9" t="s">
        <v>358</v>
      </c>
    </row>
    <row r="42" spans="3:12" ht="15" customHeight="1">
      <c r="C42" s="9" t="s">
        <v>194</v>
      </c>
      <c r="J42" s="9" t="s">
        <v>194</v>
      </c>
      <c r="L42" s="9" t="s">
        <v>359</v>
      </c>
    </row>
    <row r="43" spans="3:12" ht="15" customHeight="1">
      <c r="L43" s="9" t="s">
        <v>360</v>
      </c>
    </row>
    <row r="44" spans="3:12" ht="15" customHeight="1">
      <c r="L44" s="9" t="s">
        <v>361</v>
      </c>
    </row>
    <row r="45" spans="3:12" ht="15" customHeight="1">
      <c r="L45" s="9" t="s">
        <v>362</v>
      </c>
    </row>
    <row r="46" spans="3:12" ht="15" customHeight="1">
      <c r="L46" s="9" t="s">
        <v>363</v>
      </c>
    </row>
    <row r="47" spans="3:12" ht="15" customHeight="1">
      <c r="L47" s="9" t="s">
        <v>364</v>
      </c>
    </row>
    <row r="48" spans="3:12" ht="15" customHeight="1">
      <c r="L48" s="9" t="s">
        <v>365</v>
      </c>
    </row>
    <row r="49" spans="12:12" ht="15" customHeight="1">
      <c r="L49" s="9" t="s">
        <v>366</v>
      </c>
    </row>
    <row r="50" spans="12:12" ht="15" customHeight="1">
      <c r="L50" s="9" t="s">
        <v>367</v>
      </c>
    </row>
    <row r="51" spans="12:12" ht="15" customHeight="1">
      <c r="L51" s="9" t="s">
        <v>368</v>
      </c>
    </row>
    <row r="52" spans="12:12" ht="15" customHeight="1">
      <c r="L52" s="9" t="s">
        <v>369</v>
      </c>
    </row>
    <row r="53" spans="12:12" ht="15" customHeight="1">
      <c r="L53" s="9" t="s">
        <v>370</v>
      </c>
    </row>
    <row r="54" spans="12:12" ht="15" customHeight="1">
      <c r="L54" s="9" t="s">
        <v>371</v>
      </c>
    </row>
    <row r="55" spans="12:12" ht="15" customHeight="1">
      <c r="L55" s="9" t="s">
        <v>372</v>
      </c>
    </row>
    <row r="56" spans="12:12" ht="15" customHeight="1">
      <c r="L56" s="9" t="s">
        <v>373</v>
      </c>
    </row>
    <row r="57" spans="12:12" ht="15" customHeight="1">
      <c r="L57" s="9" t="s">
        <v>374</v>
      </c>
    </row>
    <row r="58" spans="12:12" ht="15" customHeight="1">
      <c r="L58" s="9" t="s">
        <v>375</v>
      </c>
    </row>
    <row r="59" spans="12:12" ht="15" customHeight="1">
      <c r="L59" s="9" t="s">
        <v>376</v>
      </c>
    </row>
    <row r="60" spans="12:12" ht="15" customHeight="1">
      <c r="L60" s="9" t="s">
        <v>377</v>
      </c>
    </row>
    <row r="61" spans="12:12" ht="15" customHeight="1">
      <c r="L61" s="9" t="s">
        <v>378</v>
      </c>
    </row>
    <row r="62" spans="12:12" ht="15" customHeight="1">
      <c r="L62" s="9" t="s">
        <v>379</v>
      </c>
    </row>
    <row r="63" spans="12:12" ht="15" customHeight="1">
      <c r="L63" s="9" t="s">
        <v>380</v>
      </c>
    </row>
    <row r="64" spans="12:12" ht="15" customHeight="1">
      <c r="L64" s="9" t="s">
        <v>67</v>
      </c>
    </row>
    <row r="65" spans="12:12" ht="15" customHeight="1">
      <c r="L65" s="9" t="s">
        <v>381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4"/>
  <sheetViews>
    <sheetView tabSelected="1" zoomScaleNormal="100" workbookViewId="0">
      <pane xSplit="1" ySplit="4" topLeftCell="B5" activePane="bottomRight" state="frozen"/>
      <selection pane="bottomRight" activeCell="B6" sqref="B6"/>
      <selection pane="bottomLeft" activeCell="A5" sqref="A5"/>
      <selection pane="topRight" activeCell="B1" sqref="B1"/>
    </sheetView>
  </sheetViews>
  <sheetFormatPr defaultColWidth="8.7109375" defaultRowHeight="15"/>
  <cols>
    <col min="1" max="1" width="10" style="1" customWidth="1"/>
    <col min="2" max="2" width="11.140625" style="1" customWidth="1"/>
    <col min="3" max="3" width="16.28515625" style="1" customWidth="1"/>
    <col min="4" max="4" width="10" style="1" customWidth="1"/>
    <col min="5" max="5" width="9.5703125" style="1" customWidth="1"/>
    <col min="6" max="6" width="17" style="1" customWidth="1"/>
    <col min="7" max="7" width="8" style="1" customWidth="1"/>
    <col min="8" max="8" width="11" style="1" customWidth="1"/>
    <col min="9" max="9" width="15" style="1" customWidth="1"/>
    <col min="10" max="10" width="12" style="1" customWidth="1"/>
    <col min="11" max="11" width="6" style="1" customWidth="1"/>
    <col min="12" max="12" width="12" style="1" customWidth="1"/>
    <col min="13" max="14" width="14" style="1" customWidth="1"/>
    <col min="15" max="15" width="18" style="1" customWidth="1"/>
    <col min="16" max="16" width="22" style="1" customWidth="1"/>
    <col min="17" max="17" width="12" style="1" customWidth="1"/>
    <col min="18" max="18" width="24" style="1" customWidth="1"/>
    <col min="19" max="19" width="20" style="1" customWidth="1"/>
    <col min="20" max="20" width="16" style="1" customWidth="1"/>
    <col min="21" max="21" width="13" style="1" customWidth="1"/>
    <col min="22" max="22" width="10" style="1" customWidth="1"/>
    <col min="23" max="23" width="14" style="1" customWidth="1"/>
    <col min="24" max="24" width="6" style="1" customWidth="1"/>
    <col min="25" max="25" width="13" style="1" customWidth="1"/>
    <col min="26" max="26" width="18" style="1" customWidth="1"/>
    <col min="27" max="28" width="14" style="1" customWidth="1"/>
    <col min="29" max="29" width="19" style="1" customWidth="1"/>
    <col min="30" max="30" width="30" style="1" customWidth="1"/>
    <col min="31" max="31" width="46" style="1" customWidth="1"/>
  </cols>
  <sheetData>
    <row r="1" spans="1:31" ht="17.25" customHeight="1">
      <c r="A1" s="7" t="s">
        <v>382</v>
      </c>
    </row>
    <row r="2" spans="1:31" ht="15" customHeight="1">
      <c r="A2" s="8" t="s">
        <v>383</v>
      </c>
    </row>
    <row r="4" spans="1:31" ht="30" customHeight="1">
      <c r="A4" s="10" t="s">
        <v>384</v>
      </c>
      <c r="B4" s="10" t="s">
        <v>385</v>
      </c>
      <c r="C4" s="10" t="s">
        <v>386</v>
      </c>
      <c r="D4" s="10" t="s">
        <v>53</v>
      </c>
      <c r="E4" s="10" t="s">
        <v>387</v>
      </c>
      <c r="F4" s="10" t="s">
        <v>388</v>
      </c>
      <c r="G4" s="10" t="s">
        <v>51</v>
      </c>
      <c r="H4" s="10" t="s">
        <v>35</v>
      </c>
      <c r="I4" s="10" t="s">
        <v>389</v>
      </c>
      <c r="J4" s="10" t="s">
        <v>37</v>
      </c>
      <c r="K4" s="10" t="s">
        <v>280</v>
      </c>
      <c r="L4" s="10" t="s">
        <v>390</v>
      </c>
      <c r="M4" s="10" t="s">
        <v>391</v>
      </c>
      <c r="N4" s="10" t="s">
        <v>41</v>
      </c>
      <c r="O4" s="10" t="s">
        <v>392</v>
      </c>
      <c r="P4" s="10" t="s">
        <v>393</v>
      </c>
      <c r="Q4" s="10" t="s">
        <v>394</v>
      </c>
      <c r="R4" s="10" t="s">
        <v>45</v>
      </c>
      <c r="S4" s="10" t="s">
        <v>395</v>
      </c>
      <c r="T4" s="10" t="s">
        <v>396</v>
      </c>
      <c r="U4" s="10" t="s">
        <v>397</v>
      </c>
      <c r="V4" s="10" t="s">
        <v>398</v>
      </c>
      <c r="W4" s="10" t="s">
        <v>54</v>
      </c>
      <c r="X4" s="10" t="s">
        <v>399</v>
      </c>
      <c r="Y4" s="10" t="s">
        <v>48</v>
      </c>
      <c r="Z4" s="10" t="s">
        <v>49</v>
      </c>
      <c r="AA4" s="10" t="s">
        <v>50</v>
      </c>
      <c r="AB4" s="10" t="s">
        <v>400</v>
      </c>
      <c r="AC4" s="10" t="s">
        <v>401</v>
      </c>
      <c r="AD4" s="10" t="s">
        <v>402</v>
      </c>
      <c r="AE4" s="10" t="s">
        <v>403</v>
      </c>
    </row>
    <row r="5" spans="1:31" ht="15" customHeight="1">
      <c r="A5" s="11" t="str">
        <f>IF(B5="","","W"&amp;B5&amp;"-"&amp;TEXT(COUNTIF($B$5:B5,B5),"000"))</f>
        <v>W1-001</v>
      </c>
      <c r="B5" s="13">
        <v>1</v>
      </c>
      <c r="C5" s="13">
        <v>1</v>
      </c>
      <c r="D5" s="13" t="inlineStr">
        <is>
          <t xml:space="preserve">1</t>
        </is>
      </c>
      <c r="E5" s="13">
        <v>10</v>
      </c>
      <c r="F5" s="13" t="inlineStr">
        <is>
          <t xml:space="preserve">Own 21-40</t>
        </is>
      </c>
      <c r="G5" s="13" t="inlineStr">
        <is>
          <t xml:space="preserve">Left</t>
        </is>
      </c>
      <c r="H5" s="13" t="inlineStr">
        <is>
          <t xml:space="preserve">12</t>
        </is>
      </c>
      <c r="I5" s="13" t="inlineStr">
        <is>
          <t xml:space="preserve">3x1 'T'</t>
        </is>
      </c>
      <c r="J5" s="13"/>
      <c r="K5" s="13" t="inlineStr">
        <is>
          <t xml:space="preserve">Rt</t>
        </is>
      </c>
      <c r="L5" s="13"/>
      <c r="M5" s="13"/>
      <c r="N5" s="13" t="inlineStr">
        <is>
          <t xml:space="preserve">Under Center</t>
        </is>
      </c>
      <c r="O5" s="13"/>
      <c r="P5" s="13"/>
      <c r="Q5" s="13"/>
      <c r="R5" s="13"/>
      <c r="S5" s="13"/>
      <c r="T5" s="13"/>
      <c r="U5" s="13"/>
      <c r="V5" s="13" t="inlineStr">
        <is>
          <t xml:space="preserve">S.Barkley</t>
        </is>
      </c>
      <c r="W5" s="13" t="inlineStr">
        <is>
          <t xml:space="preserve">Incomplete</t>
        </is>
      </c>
      <c r="X5" s="13">
        <v>0</v>
      </c>
      <c r="Y5" s="13"/>
      <c r="Z5" s="13"/>
      <c r="AA5" s="13"/>
      <c r="AB5" s="13"/>
      <c r="AC5" s="13"/>
      <c r="AD5" s="13"/>
      <c r="AE5" s="13" t="inlineStr">
        <is>
          <t xml:space="preserve">PHI 35. J.Hurts pass incomplete short right to S.Barkley. | Set: Wicks wide R, Smith slot R, Goedert inline R, Mundt inline L. Motion: Smith / slot R / across to L / at snap (2x2 as snapped).</t>
        </is>
      </c>
    </row>
    <row r="6" spans="1:31" ht="15" customHeight="1">
      <c r="A6" s="11" t="str">
        <f>IF(B6="","","W"&amp;B6&amp;"-"&amp;TEXT(COUNTIF($B$5:B6,B6),"000"))</f>
        <v>W1-002</v>
      </c>
      <c r="B6" s="13">
        <v>1</v>
      </c>
      <c r="C6" s="13">
        <v>1</v>
      </c>
      <c r="D6" s="13" t="inlineStr">
        <is>
          <t xml:space="preserve">2</t>
        </is>
      </c>
      <c r="E6" s="13">
        <v>10</v>
      </c>
      <c r="F6" s="13" t="inlineStr">
        <is>
          <t xml:space="preserve">Own 21-40</t>
        </is>
      </c>
      <c r="G6" s="13" t="inlineStr">
        <is>
          <t xml:space="preserve">Left</t>
        </is>
      </c>
      <c r="H6" s="13" t="inlineStr">
        <is>
          <t xml:space="preserve">12</t>
        </is>
      </c>
      <c r="I6" s="13" t="inlineStr">
        <is>
          <t xml:space="preserve">3x1 'T'</t>
        </is>
      </c>
      <c r="J6" s="13"/>
      <c r="K6" s="13" t="inlineStr">
        <is>
          <t xml:space="preserve">Rt</t>
        </is>
      </c>
      <c r="L6" s="13"/>
      <c r="M6" s="13"/>
      <c r="N6" s="13" t="inlineStr">
        <is>
          <t xml:space="preserve">Under Center</t>
        </is>
      </c>
      <c r="O6" s="13" t="inlineStr">
        <is>
          <t xml:space="preserve">Run</t>
        </is>
      </c>
      <c r="P6" s="13"/>
      <c r="Q6" s="13"/>
      <c r="R6" s="13"/>
      <c r="S6" s="13"/>
      <c r="T6" s="13"/>
      <c r="U6" s="13"/>
      <c r="V6" s="13" t="inlineStr">
        <is>
          <t xml:space="preserve">S.Barkley</t>
        </is>
      </c>
      <c r="W6" s="13" t="inlineStr">
        <is>
          <t xml:space="preserve">Run - Gain</t>
        </is>
      </c>
      <c r="X6" s="13">
        <v>5</v>
      </c>
      <c r="Y6" s="13"/>
      <c r="Z6" s="13"/>
      <c r="AA6" s="13"/>
      <c r="AB6" s="13"/>
      <c r="AC6" s="13"/>
      <c r="AD6" s="13"/>
      <c r="AE6" s="13" t="inlineStr">
        <is>
          <t xml:space="preserve">PHI 35. S.Barkley right guard to PHI 40 for 5 yards. | Set: Mundt inline R, Wicks flexed R, Goedert split wide R, Smith wide L. Motion: Goedert / wide R / in toward formation / at snap.</t>
        </is>
      </c>
    </row>
    <row r="7" spans="1:31" ht="15" customHeight="1">
      <c r="A7" s="11" t="str">
        <f>IF(B7="","","W"&amp;B7&amp;"-"&amp;TEXT(COUNTIF($B$5:B7,B7),"000"))</f>
        <v>W1-003</v>
      </c>
      <c r="B7" s="13">
        <v>1</v>
      </c>
      <c r="C7" s="13">
        <v>1</v>
      </c>
      <c r="D7" s="13" t="inlineStr">
        <is>
          <t xml:space="preserve">3</t>
        </is>
      </c>
      <c r="E7" s="13">
        <v>5</v>
      </c>
      <c r="F7" s="13" t="inlineStr">
        <is>
          <t xml:space="preserve">Own 21-40</t>
        </is>
      </c>
      <c r="G7" s="13" t="inlineStr">
        <is>
          <t xml:space="preserve">Right</t>
        </is>
      </c>
      <c r="H7" s="13" t="inlineStr">
        <is>
          <t xml:space="preserve">11</t>
        </is>
      </c>
      <c r="I7" s="13" t="inlineStr">
        <is>
          <t xml:space="preserve">2x2 'D'</t>
        </is>
      </c>
      <c r="J7" s="13"/>
      <c r="K7" s="13" t="inlineStr">
        <is>
          <t xml:space="preserve">Rt</t>
        </is>
      </c>
      <c r="L7" s="13"/>
      <c r="M7" s="13"/>
      <c r="N7" s="13" t="inlineStr">
        <is>
          <t xml:space="preserve">Gun</t>
        </is>
      </c>
      <c r="O7" s="13" t="inlineStr">
        <is>
          <t xml:space="preserve">Scramble</t>
        </is>
      </c>
      <c r="P7" s="13"/>
      <c r="Q7" s="13"/>
      <c r="R7" s="13"/>
      <c r="S7" s="13"/>
      <c r="T7" s="13"/>
      <c r="U7" s="13"/>
      <c r="V7" s="13" t="inlineStr">
        <is>
          <t xml:space="preserve">J.Hurts</t>
        </is>
      </c>
      <c r="W7" s="13" t="inlineStr">
        <is>
          <t xml:space="preserve">Scramble</t>
        </is>
      </c>
      <c r="X7" s="13">
        <v>6</v>
      </c>
      <c r="Y7" s="13"/>
      <c r="Z7" s="13"/>
      <c r="AA7" s="13"/>
      <c r="AB7" s="13"/>
      <c r="AC7" s="13"/>
      <c r="AD7" s="13"/>
      <c r="AE7" s="13" t="inlineStr">
        <is>
          <t xml:space="preserve">PHI 40. (Shotgun) J.Hurts scrambles left tackle, ran ob at PHI 46 for 6 yards. | Set: 1 WR wide R + Goedert off-ball wing R, 2 WR L. No motion. Hash from Sideline only (Endzone clip missing).</t>
        </is>
      </c>
    </row>
    <row r="8" spans="1:31" ht="15" customHeight="1">
      <c r="A8" s="11" t="str">
        <f>IF(B8="","","W"&amp;B8&amp;"-"&amp;TEXT(COUNTIF($B$5:B8,B8),"000"))</f>
        <v>W1-004</v>
      </c>
      <c r="B8" s="13">
        <v>1</v>
      </c>
      <c r="C8" s="13">
        <v>1</v>
      </c>
      <c r="D8" s="13" t="inlineStr">
        <is>
          <t xml:space="preserve">1</t>
        </is>
      </c>
      <c r="E8" s="13">
        <v>10</v>
      </c>
      <c r="F8" s="13" t="inlineStr">
        <is>
          <t xml:space="preserve">Own 41 to Mid</t>
        </is>
      </c>
      <c r="G8" s="13" t="inlineStr">
        <is>
          <t xml:space="preserve">Left</t>
        </is>
      </c>
      <c r="H8" s="13" t="inlineStr">
        <is>
          <t xml:space="preserve">12</t>
        </is>
      </c>
      <c r="I8" s="13" t="inlineStr">
        <is>
          <t xml:space="preserve">3x1 'T'</t>
        </is>
      </c>
      <c r="J8" s="13"/>
      <c r="K8" s="13" t="inlineStr">
        <is>
          <t xml:space="preserve">Rt</t>
        </is>
      </c>
      <c r="L8" s="13"/>
      <c r="M8" s="13"/>
      <c r="N8" s="13" t="inlineStr">
        <is>
          <t xml:space="preserve">Under Center</t>
        </is>
      </c>
      <c r="O8" s="13" t="inlineStr">
        <is>
          <t xml:space="preserve">Run</t>
        </is>
      </c>
      <c r="P8" s="13"/>
      <c r="Q8" s="13"/>
      <c r="R8" s="13"/>
      <c r="S8" s="13"/>
      <c r="T8" s="13"/>
      <c r="U8" s="13"/>
      <c r="V8" s="13" t="inlineStr">
        <is>
          <t xml:space="preserve">S.Barkley</t>
        </is>
      </c>
      <c r="W8" s="13" t="inlineStr">
        <is>
          <t xml:space="preserve">Run - Loss</t>
        </is>
      </c>
      <c r="X8" s="13">
        <v>-1</v>
      </c>
      <c r="Y8" s="13"/>
      <c r="Z8" s="13"/>
      <c r="AA8" s="13"/>
      <c r="AB8" s="13"/>
      <c r="AC8" s="13"/>
      <c r="AD8" s="13"/>
      <c r="AE8" s="13" t="inlineStr">
        <is>
          <t xml:space="preserve">PHI 46. S.Barkley left end to PHI 45 for -1 yards. | Set: Goedert inline R, Cooper just outside, Smith tight outside Cooper, Mundt inline L. Motion: Smith / tight R / behind LOS to tight L / at snap (2x2 tight as snapped).</t>
        </is>
      </c>
    </row>
    <row r="9" spans="1:31" ht="15" customHeight="1">
      <c r="A9" s="11" t="str">
        <f>IF(B9="","","W"&amp;B9&amp;"-"&amp;TEXT(COUNTIF($B$5:B9,B9),"000"))</f>
        <v>W1-005</v>
      </c>
      <c r="B9" s="13">
        <v>1</v>
      </c>
      <c r="C9" s="13">
        <v>1</v>
      </c>
      <c r="D9" s="13" t="inlineStr">
        <is>
          <t xml:space="preserve">2</t>
        </is>
      </c>
      <c r="E9" s="13">
        <v>11</v>
      </c>
      <c r="F9" s="13" t="inlineStr">
        <is>
          <t xml:space="preserve">Own 41 to Mid</t>
        </is>
      </c>
      <c r="G9" s="13" t="inlineStr">
        <is>
          <t xml:space="preserve">Left</t>
        </is>
      </c>
      <c r="H9" s="13" t="inlineStr">
        <is>
          <t xml:space="preserve">11</t>
        </is>
      </c>
      <c r="I9" s="13" t="inlineStr">
        <is>
          <t xml:space="preserve">2x2 'D'</t>
        </is>
      </c>
      <c r="J9" s="13"/>
      <c r="K9" s="13" t="inlineStr">
        <is>
          <t xml:space="preserve">Rt</t>
        </is>
      </c>
      <c r="L9" s="13"/>
      <c r="M9" s="13"/>
      <c r="N9" s="13" t="inlineStr">
        <is>
          <t xml:space="preserve">Gun</t>
        </is>
      </c>
      <c r="O9" s="13"/>
      <c r="P9" s="13"/>
      <c r="Q9" s="13"/>
      <c r="R9" s="13"/>
      <c r="S9" s="13"/>
      <c r="T9" s="13"/>
      <c r="U9" s="13"/>
      <c r="V9" s="13" t="inlineStr">
        <is>
          <t xml:space="preserve">M.Lemon</t>
        </is>
      </c>
      <c r="W9" s="13" t="inlineStr">
        <is>
          <t xml:space="preserve">Complete</t>
        </is>
      </c>
      <c r="X9" s="13">
        <v>3</v>
      </c>
      <c r="Y9" s="13"/>
      <c r="Z9" s="13"/>
      <c r="AA9" s="13"/>
      <c r="AB9" s="13"/>
      <c r="AC9" s="13"/>
      <c r="AD9" s="13"/>
      <c r="AE9" s="13" t="inlineStr">
        <is>
          <t xml:space="preserve">PHI 45. (Shotgun) J.Hurts pass short left to M.Lemon, pushed ob at PHI 48 for 3 yards. | No motion.</t>
        </is>
      </c>
    </row>
    <row r="10" spans="1:31" ht="15" customHeight="1">
      <c r="A10" s="11" t="str">
        <f>IF(B10="","","W"&amp;B10&amp;"-"&amp;TEXT(COUNTIF($B$5:B10,B10),"000"))</f>
        <v>W1-006</v>
      </c>
      <c r="B10" s="13">
        <v>1</v>
      </c>
      <c r="C10" s="13">
        <v>1</v>
      </c>
      <c r="D10" s="13" t="inlineStr">
        <is>
          <t xml:space="preserve">3</t>
        </is>
      </c>
      <c r="E10" s="13">
        <v>8</v>
      </c>
      <c r="F10" s="13" t="inlineStr">
        <is>
          <t xml:space="preserve">Own 41 to Mid</t>
        </is>
      </c>
      <c r="G10" s="13" t="inlineStr">
        <is>
          <t xml:space="preserve">Left</t>
        </is>
      </c>
      <c r="H10" s="13" t="inlineStr">
        <is>
          <t xml:space="preserve">11</t>
        </is>
      </c>
      <c r="I10" s="13" t="inlineStr">
        <is>
          <t xml:space="preserve">2x2 'D'</t>
        </is>
      </c>
      <c r="J10" s="13"/>
      <c r="K10" s="13" t="inlineStr">
        <is>
          <t xml:space="preserve">Rt</t>
        </is>
      </c>
      <c r="L10" s="13"/>
      <c r="M10" s="13"/>
      <c r="N10" s="13" t="inlineStr">
        <is>
          <t xml:space="preserve">Gun</t>
        </is>
      </c>
      <c r="O10" s="13"/>
      <c r="P10" s="13"/>
      <c r="Q10" s="13"/>
      <c r="R10" s="13"/>
      <c r="S10" s="13"/>
      <c r="T10" s="13"/>
      <c r="U10" s="13"/>
      <c r="V10" s="13" t="inlineStr">
        <is>
          <t xml:space="preserve">D.Wicks</t>
        </is>
      </c>
      <c r="W10" s="13" t="inlineStr">
        <is>
          <t xml:space="preserve">Incomplete</t>
        </is>
      </c>
      <c r="X10" s="13">
        <v>0</v>
      </c>
      <c r="Y10" s="13"/>
      <c r="Z10" s="13"/>
      <c r="AA10" s="13"/>
      <c r="AB10" s="13"/>
      <c r="AC10" s="13"/>
      <c r="AD10" s="13"/>
      <c r="AE10" s="13" t="inlineStr">
        <is>
          <t xml:space="preserve">PHI 48. (Shotgun) J.Hurts pass incomplete short left to D.Wicks. | Shift: slot R / behind QB to slot L / stop-and-set (3x1 Rt before shift).</t>
        </is>
      </c>
    </row>
    <row r="11" spans="1:31" ht="15" customHeight="1">
      <c r="A11" s="11" t="str">
        <f>IF(B11="","","W"&amp;B11&amp;"-"&amp;TEXT(COUNTIF($B$5:B11,B11),"000"))</f>
        <v>W1-007</v>
      </c>
      <c r="B11" s="13">
        <v>1</v>
      </c>
      <c r="C11" s="13">
        <v>1</v>
      </c>
      <c r="D11" s="13" t="inlineStr">
        <is>
          <t xml:space="preserve">1</t>
        </is>
      </c>
      <c r="E11" s="13">
        <v>10</v>
      </c>
      <c r="F11" s="13" t="inlineStr">
        <is>
          <t xml:space="preserve">Own 21-40</t>
        </is>
      </c>
      <c r="G11" s="13" t="inlineStr">
        <is>
          <t xml:space="preserve">Left</t>
        </is>
      </c>
      <c r="H11" s="13" t="inlineStr">
        <is>
          <t xml:space="preserve">12</t>
        </is>
      </c>
      <c r="I11" s="13" t="inlineStr">
        <is>
          <t xml:space="preserve">3x1 'T'</t>
        </is>
      </c>
      <c r="J11" s="13"/>
      <c r="K11" s="13" t="inlineStr">
        <is>
          <t xml:space="preserve">Rt</t>
        </is>
      </c>
      <c r="L11" s="13"/>
      <c r="M11" s="13"/>
      <c r="N11" s="13" t="inlineStr">
        <is>
          <t xml:space="preserve">Under Center</t>
        </is>
      </c>
      <c r="O11" s="13" t="inlineStr">
        <is>
          <t xml:space="preserve">Run</t>
        </is>
      </c>
      <c r="P11" s="13"/>
      <c r="Q11" s="13"/>
      <c r="R11" s="13"/>
      <c r="S11" s="13"/>
      <c r="T11" s="13"/>
      <c r="U11" s="13"/>
      <c r="V11" s="13" t="inlineStr">
        <is>
          <t xml:space="preserve">S.Barkley</t>
        </is>
      </c>
      <c r="W11" s="13" t="inlineStr">
        <is>
          <t xml:space="preserve">Penalty</t>
        </is>
      </c>
      <c r="X11" s="13"/>
      <c r="Y11" s="13"/>
      <c r="Z11" s="13"/>
      <c r="AA11" s="13"/>
      <c r="AB11" s="13"/>
      <c r="AC11" s="13"/>
      <c r="AD11" s="13"/>
      <c r="AE11" s="13" t="inlineStr">
        <is>
          <t xml:space="preserve">PHI 39. S.Barkley left end for 5, wiped by holding on C.Jurgens (10 yds, enforced at PHI 40). Down replayed. | Set: Mundt inline R, Goedert wing R, Wicks wide R, Smith wide L. Motion: Goedert / wing R / across backfield to L / at snap (2-back look as snapped).</t>
        </is>
      </c>
    </row>
    <row r="12" spans="1:31" ht="15" customHeight="1">
      <c r="A12" s="11" t="str">
        <f>IF(B12="","","W"&amp;B12&amp;"-"&amp;TEXT(COUNTIF($B$5:B12,B12),"000"))</f>
        <v>W1-008</v>
      </c>
      <c r="B12" s="13">
        <v>1</v>
      </c>
      <c r="C12" s="13">
        <v>1</v>
      </c>
      <c r="D12" s="13" t="inlineStr">
        <is>
          <t xml:space="preserve">1</t>
        </is>
      </c>
      <c r="E12" s="13">
        <v>19</v>
      </c>
      <c r="F12" s="13" t="inlineStr">
        <is>
          <t xml:space="preserve">Own 21-40</t>
        </is>
      </c>
      <c r="G12" s="13" t="inlineStr">
        <is>
          <t xml:space="preserve">Left</t>
        </is>
      </c>
      <c r="H12" s="13" t="inlineStr">
        <is>
          <t xml:space="preserve">11</t>
        </is>
      </c>
      <c r="I12" s="13" t="inlineStr">
        <is>
          <t xml:space="preserve">2x2 'D'</t>
        </is>
      </c>
      <c r="J12" s="13"/>
      <c r="K12" s="13"/>
      <c r="L12" s="13"/>
      <c r="M12" s="13"/>
      <c r="N12" s="13" t="inlineStr">
        <is>
          <t xml:space="preserve">Gun</t>
        </is>
      </c>
      <c r="O12" s="13"/>
      <c r="P12" s="13"/>
      <c r="Q12" s="13"/>
      <c r="R12" s="13"/>
      <c r="S12" s="13"/>
      <c r="T12" s="13"/>
      <c r="U12" s="13"/>
      <c r="V12" s="13" t="inlineStr">
        <is>
          <t xml:space="preserve">M.Lemon</t>
        </is>
      </c>
      <c r="W12" s="13" t="inlineStr">
        <is>
          <t xml:space="preserve">Complete</t>
        </is>
      </c>
      <c r="X12" s="13">
        <v>-5</v>
      </c>
      <c r="Y12" s="13"/>
      <c r="Z12" s="13"/>
      <c r="AA12" s="13"/>
      <c r="AB12" s="13"/>
      <c r="AC12" s="13"/>
      <c r="AD12" s="13"/>
      <c r="AE12" s="13" t="inlineStr">
        <is>
          <t xml:space="preserve">PHI 30. (Shotgun) J.Hurts pass short right to M.Lemon to PHI 25 for -5 yards. | Str unknown: Goedert not found. Motion: Lemon / L slot / across backfield to R / at snap.</t>
        </is>
      </c>
    </row>
    <row r="13" spans="1:31" ht="15" customHeight="1">
      <c r="A13" s="11" t="str">
        <f>IF(B13="","","W"&amp;B13&amp;"-"&amp;TEXT(COUNTIF($B$5:B13,B13),"000"))</f>
        <v>W1-009</v>
      </c>
      <c r="B13" s="13">
        <v>1</v>
      </c>
      <c r="C13" s="13">
        <v>1</v>
      </c>
      <c r="D13" s="13" t="inlineStr">
        <is>
          <t xml:space="preserve">2</t>
        </is>
      </c>
      <c r="E13" s="13">
        <v>24</v>
      </c>
      <c r="F13" s="13" t="inlineStr">
        <is>
          <t xml:space="preserve">Own 21-40</t>
        </is>
      </c>
      <c r="G13" s="13" t="inlineStr">
        <is>
          <t xml:space="preserve">Right</t>
        </is>
      </c>
      <c r="H13" s="13" t="inlineStr">
        <is>
          <t xml:space="preserve">11</t>
        </is>
      </c>
      <c r="I13" s="13" t="inlineStr">
        <is>
          <t xml:space="preserve">3x1 'T'</t>
        </is>
      </c>
      <c r="J13" s="13"/>
      <c r="K13" s="13" t="inlineStr">
        <is>
          <t xml:space="preserve">Rt</t>
        </is>
      </c>
      <c r="L13" s="13"/>
      <c r="M13" s="13"/>
      <c r="N13" s="13" t="inlineStr">
        <is>
          <t xml:space="preserve">Gun</t>
        </is>
      </c>
      <c r="O13" s="13"/>
      <c r="P13" s="13"/>
      <c r="Q13" s="13"/>
      <c r="R13" s="13"/>
      <c r="S13" s="13"/>
      <c r="T13" s="13"/>
      <c r="U13" s="13"/>
      <c r="V13" s="13" t="inlineStr">
        <is>
          <t xml:space="preserve">D.Smith</t>
        </is>
      </c>
      <c r="W13" s="13" t="inlineStr">
        <is>
          <t xml:space="preserve">Complete</t>
        </is>
      </c>
      <c r="X13" s="13">
        <v>12</v>
      </c>
      <c r="Y13" s="13"/>
      <c r="Z13" s="13"/>
      <c r="AA13" s="13"/>
      <c r="AB13" s="13"/>
      <c r="AC13" s="13"/>
      <c r="AD13" s="13"/>
      <c r="AE13" s="13" t="inlineStr">
        <is>
          <t xml:space="preserve">PHI 25. (Shotgun) J.Hurts pass short middle to D.Smith to PHI 37 for 12 yards. | Set: Goedert inline R, Wicks slot R, Lemon outside Wicks, Smith wide L. Motion: Lemon / outside R / across to slot L / at snap (2x2 as snapped).</t>
        </is>
      </c>
    </row>
    <row r="14" spans="1:31" ht="15" customHeight="1">
      <c r="A14" s="11" t="str">
        <f>IF(B14="","","W"&amp;B14&amp;"-"&amp;TEXT(COUNTIF($B$5:B14,B14),"000"))</f>
        <v>W1-010</v>
      </c>
      <c r="B14" s="13">
        <v>1</v>
      </c>
      <c r="C14" s="13">
        <v>1</v>
      </c>
      <c r="D14" s="13" t="inlineStr">
        <is>
          <t xml:space="preserve">3</t>
        </is>
      </c>
      <c r="E14" s="13">
        <v>12</v>
      </c>
      <c r="F14" s="13" t="inlineStr">
        <is>
          <t xml:space="preserve">Own 21-40</t>
        </is>
      </c>
      <c r="G14" s="13" t="inlineStr">
        <is>
          <t xml:space="preserve">Right</t>
        </is>
      </c>
      <c r="H14" s="13" t="inlineStr">
        <is>
          <t xml:space="preserve">11</t>
        </is>
      </c>
      <c r="I14" s="13" t="inlineStr">
        <is>
          <t xml:space="preserve">2x2 'D'</t>
        </is>
      </c>
      <c r="J14" s="13"/>
      <c r="K14" s="13" t="inlineStr">
        <is>
          <t xml:space="preserve">Rt</t>
        </is>
      </c>
      <c r="L14" s="13"/>
      <c r="M14" s="13"/>
      <c r="N14" s="13" t="inlineStr">
        <is>
          <t xml:space="preserve">Gun</t>
        </is>
      </c>
      <c r="O14" s="13"/>
      <c r="P14" s="13"/>
      <c r="Q14" s="13"/>
      <c r="R14" s="13"/>
      <c r="S14" s="13"/>
      <c r="T14" s="13"/>
      <c r="U14" s="13"/>
      <c r="V14" s="13"/>
      <c r="W14" s="13" t="inlineStr">
        <is>
          <t xml:space="preserve">Sack</t>
        </is>
      </c>
      <c r="X14" s="13">
        <v>-9</v>
      </c>
      <c r="Y14" s="13"/>
      <c r="Z14" s="13"/>
      <c r="AA14" s="13"/>
      <c r="AB14" s="13"/>
      <c r="AC14" s="13"/>
      <c r="AD14" s="13"/>
      <c r="AE14" s="13" t="inlineStr">
        <is>
          <t xml:space="preserve">PHI 37. (Shotgun) J.Hurts sacked at PHI 28 for -9 yards (F.Luvu). | Set (after shift): WR wide R + Goedert wing R, 2 WR L. Shift: Goedert / left side / across to wing R / stop-and-set (3x1 Lt before shift).</t>
        </is>
      </c>
    </row>
    <row r="15" spans="1:31" ht="15" customHeight="1">
      <c r="A15" s="11" t="str">
        <f>IF(B15="","","W"&amp;B15&amp;"-"&amp;TEXT(COUNTIF($B$5:B15,B15),"000"))</f>
        <v>W1-011</v>
      </c>
      <c r="B15" s="13">
        <v>1</v>
      </c>
      <c r="C15" s="13">
        <v>1</v>
      </c>
      <c r="D15" s="13" t="inlineStr">
        <is>
          <t xml:space="preserve">1</t>
        </is>
      </c>
      <c r="E15" s="13">
        <v>10</v>
      </c>
      <c r="F15" s="13" t="inlineStr">
        <is>
          <t xml:space="preserve">Own 21-40</t>
        </is>
      </c>
      <c r="G15" s="13" t="inlineStr">
        <is>
          <t xml:space="preserve">Left</t>
        </is>
      </c>
      <c r="H15" s="13" t="inlineStr">
        <is>
          <t xml:space="preserve">12</t>
        </is>
      </c>
      <c r="I15" s="13" t="inlineStr">
        <is>
          <t xml:space="preserve">2x2 'D'</t>
        </is>
      </c>
      <c r="J15" s="13"/>
      <c r="K15" s="13" t="inlineStr">
        <is>
          <t xml:space="preserve">Lt</t>
        </is>
      </c>
      <c r="L15" s="13"/>
      <c r="M15" s="13"/>
      <c r="N15" s="13" t="inlineStr">
        <is>
          <t xml:space="preserve">Under Center</t>
        </is>
      </c>
      <c r="O15" s="13" t="inlineStr">
        <is>
          <t xml:space="preserve">Run</t>
        </is>
      </c>
      <c r="P15" s="13"/>
      <c r="Q15" s="13"/>
      <c r="R15" s="13"/>
      <c r="S15" s="13"/>
      <c r="T15" s="13"/>
      <c r="U15" s="13"/>
      <c r="V15" s="13" t="inlineStr">
        <is>
          <t xml:space="preserve">S.Barkley</t>
        </is>
      </c>
      <c r="W15" s="13" t="inlineStr">
        <is>
          <t xml:space="preserve">Run - Gain</t>
        </is>
      </c>
      <c r="X15" s="13">
        <v>6</v>
      </c>
      <c r="Y15" s="13"/>
      <c r="Z15" s="13"/>
      <c r="AA15" s="13"/>
      <c r="AB15" s="13"/>
      <c r="AC15" s="13"/>
      <c r="AD15" s="13"/>
      <c r="AE15" s="13" t="inlineStr">
        <is>
          <t xml:space="preserve">PHI 24. S.Barkley right end to PHI 30 for 6 yards. | Str by Y tiebreak (Goedert side). Motion: Smith / wide L / across toward R / at snap.</t>
        </is>
      </c>
    </row>
    <row r="16" spans="1:31" ht="15" customHeight="1">
      <c r="A16" s="11" t="str">
        <f>IF(B16="","","W"&amp;B16&amp;"-"&amp;TEXT(COUNTIF($B$5:B16,B16),"000"))</f>
        <v>W1-012</v>
      </c>
      <c r="B16" s="13">
        <v>1</v>
      </c>
      <c r="C16" s="13">
        <v>1</v>
      </c>
      <c r="D16" s="13" t="inlineStr">
        <is>
          <t xml:space="preserve">2</t>
        </is>
      </c>
      <c r="E16" s="13">
        <v>4</v>
      </c>
      <c r="F16" s="13" t="inlineStr">
        <is>
          <t xml:space="preserve">Own 21-40</t>
        </is>
      </c>
      <c r="G16" s="13" t="inlineStr">
        <is>
          <t xml:space="preserve">Right</t>
        </is>
      </c>
      <c r="H16" s="13" t="inlineStr">
        <is>
          <t xml:space="preserve">13</t>
        </is>
      </c>
      <c r="I16" s="13" t="inlineStr">
        <is>
          <t xml:space="preserve">Big</t>
        </is>
      </c>
      <c r="J16" s="13"/>
      <c r="K16" s="13" t="inlineStr">
        <is>
          <t xml:space="preserve">Lt</t>
        </is>
      </c>
      <c r="L16" s="13"/>
      <c r="M16" s="13"/>
      <c r="N16" s="13" t="inlineStr">
        <is>
          <t xml:space="preserve">Under Center</t>
        </is>
      </c>
      <c r="O16" s="13"/>
      <c r="P16" s="13"/>
      <c r="Q16" s="13"/>
      <c r="R16" s="13"/>
      <c r="S16" s="13"/>
      <c r="T16" s="13"/>
      <c r="U16" s="13"/>
      <c r="V16" s="13" t="inlineStr">
        <is>
          <t xml:space="preserve">D.Wicks</t>
        </is>
      </c>
      <c r="W16" s="13" t="inlineStr">
        <is>
          <t xml:space="preserve">Complete</t>
        </is>
      </c>
      <c r="X16" s="13">
        <v>64</v>
      </c>
      <c r="Y16" s="13"/>
      <c r="Z16" s="13"/>
      <c r="AA16" s="13"/>
      <c r="AB16" s="13"/>
      <c r="AC16" s="13"/>
      <c r="AD16" s="13"/>
      <c r="AE16" s="13" t="inlineStr">
        <is>
          <t xml:space="preserve">PHI 30. J.Hurts pass deep right to D.Wicks to WAS 6 for 64 yards. No shotgun tag: play-action candidate. | Double tight L, Wicks only wideout.</t>
        </is>
      </c>
    </row>
    <row r="17" spans="1:31" ht="15" customHeight="1">
      <c r="A17" s="11" t="str">
        <f>IF(B17="","","W"&amp;B17&amp;"-"&amp;TEXT(COUNTIF($B$5:B17,B17),"000"))</f>
        <v>W1-013</v>
      </c>
      <c r="B17" s="13">
        <v>1</v>
      </c>
      <c r="C17" s="13">
        <v>1</v>
      </c>
      <c r="D17" s="13" t="inlineStr">
        <is>
          <t xml:space="preserve">1</t>
        </is>
      </c>
      <c r="E17" s="13">
        <v>6</v>
      </c>
      <c r="F17" s="13" t="inlineStr">
        <is>
          <t xml:space="preserve">Opp 10-1 (Goal Line)</t>
        </is>
      </c>
      <c r="G17" s="13" t="inlineStr">
        <is>
          <t xml:space="preserve">Right</t>
        </is>
      </c>
      <c r="H17" s="13" t="inlineStr">
        <is>
          <t xml:space="preserve">12</t>
        </is>
      </c>
      <c r="I17" s="13" t="inlineStr">
        <is>
          <t xml:space="preserve">2x2 'D'</t>
        </is>
      </c>
      <c r="J17" s="13"/>
      <c r="K17" s="13" t="inlineStr">
        <is>
          <t xml:space="preserve">Rt</t>
        </is>
      </c>
      <c r="L17" s="13"/>
      <c r="M17" s="13"/>
      <c r="N17" s="13" t="inlineStr">
        <is>
          <t xml:space="preserve">Under Center</t>
        </is>
      </c>
      <c r="O17" s="13" t="inlineStr">
        <is>
          <t xml:space="preserve">Run</t>
        </is>
      </c>
      <c r="P17" s="13"/>
      <c r="Q17" s="13"/>
      <c r="R17" s="13"/>
      <c r="S17" s="13"/>
      <c r="T17" s="13"/>
      <c r="U17" s="13"/>
      <c r="V17" s="13" t="inlineStr">
        <is>
          <t xml:space="preserve">S.Barkley</t>
        </is>
      </c>
      <c r="W17" s="13" t="inlineStr">
        <is>
          <t xml:space="preserve">Penalty</t>
        </is>
      </c>
      <c r="X17" s="13"/>
      <c r="Y17" s="13"/>
      <c r="Z17" s="13"/>
      <c r="AA17" s="13"/>
      <c r="AB17" s="13"/>
      <c r="AC17" s="13"/>
      <c r="AD17" s="13"/>
      <c r="AE17" s="13" t="inlineStr">
        <is>
          <t xml:space="preserve">WAS 6. S.Barkley left tackle for 4, no play: holding on C.Jurgens. | Str by Y tiebreak (Goedert side). Motion: Wicks / wide L / in tight to LT / at snap.</t>
        </is>
      </c>
    </row>
    <row r="18" spans="1:31" ht="15" customHeight="1">
      <c r="A18" s="11" t="str">
        <f>IF(B18="","","W"&amp;B18&amp;"-"&amp;TEXT(COUNTIF($B$5:B18,B18),"000"))</f>
        <v>W1-014</v>
      </c>
      <c r="B18" s="13">
        <v>1</v>
      </c>
      <c r="C18" s="13">
        <v>1</v>
      </c>
      <c r="D18" s="13" t="inlineStr">
        <is>
          <t xml:space="preserve">1</t>
        </is>
      </c>
      <c r="E18" s="13">
        <v>16</v>
      </c>
      <c r="F18" s="13" t="inlineStr">
        <is>
          <t xml:space="preserve">Opp 20-11 (Red)</t>
        </is>
      </c>
      <c r="G18" s="13" t="inlineStr">
        <is>
          <t xml:space="preserve">Left</t>
        </is>
      </c>
      <c r="H18" s="13" t="inlineStr">
        <is>
          <t xml:space="preserve">11</t>
        </is>
      </c>
      <c r="I18" s="13" t="inlineStr">
        <is>
          <t xml:space="preserve">3x1 'T'</t>
        </is>
      </c>
      <c r="J18" s="13"/>
      <c r="K18" s="13" t="inlineStr">
        <is>
          <t xml:space="preserve">Rt</t>
        </is>
      </c>
      <c r="L18" s="13"/>
      <c r="M18" s="13"/>
      <c r="N18" s="13" t="inlineStr">
        <is>
          <t xml:space="preserve">Gun</t>
        </is>
      </c>
      <c r="O18" s="13" t="inlineStr">
        <is>
          <t xml:space="preserve">Run</t>
        </is>
      </c>
      <c r="P18" s="13"/>
      <c r="Q18" s="13"/>
      <c r="R18" s="13"/>
      <c r="S18" s="13"/>
      <c r="T18" s="13"/>
      <c r="U18" s="13"/>
      <c r="V18" s="13" t="inlineStr">
        <is>
          <t xml:space="preserve">S.Barkley</t>
        </is>
      </c>
      <c r="W18" s="13" t="inlineStr">
        <is>
          <t xml:space="preserve">Run - Loss</t>
        </is>
      </c>
      <c r="X18" s="13">
        <v>-2</v>
      </c>
      <c r="Y18" s="13"/>
      <c r="Z18" s="13"/>
      <c r="AA18" s="13"/>
      <c r="AB18" s="13"/>
      <c r="AC18" s="13"/>
      <c r="AD18" s="13"/>
      <c r="AE18" s="13" t="inlineStr">
        <is>
          <t xml:space="preserve">WAS 16. (Shotgun) S.Barkley up the middle to WAS 18 for -2 yards. | No motion. Hash: Left on both angles at full zoom; conflicts with W1-013 Right after a no-play. Video kept.</t>
        </is>
      </c>
    </row>
    <row r="19" spans="1:31" ht="15" customHeight="1">
      <c r="A19" s="11" t="str">
        <f>IF(B19="","","W"&amp;B19&amp;"-"&amp;TEXT(COUNTIF($B$5:B19,B19),"000"))</f>
        <v>W1-015</v>
      </c>
      <c r="B19" s="13">
        <v>1</v>
      </c>
      <c r="C19" s="13">
        <v>2</v>
      </c>
      <c r="D19" s="13" t="inlineStr">
        <is>
          <t xml:space="preserve">2</t>
        </is>
      </c>
      <c r="E19" s="13">
        <v>18</v>
      </c>
      <c r="F19" s="13" t="inlineStr">
        <is>
          <t xml:space="preserve">Opp 20-11 (Red)</t>
        </is>
      </c>
      <c r="G19" s="13" t="inlineStr">
        <is>
          <t xml:space="preserve">Left</t>
        </is>
      </c>
      <c r="H19" s="13" t="inlineStr">
        <is>
          <t xml:space="preserve">11</t>
        </is>
      </c>
      <c r="I19" s="13" t="inlineStr">
        <is>
          <t xml:space="preserve">3x1 'T'</t>
        </is>
      </c>
      <c r="J19" s="13"/>
      <c r="K19" s="13" t="inlineStr">
        <is>
          <t xml:space="preserve">Rt</t>
        </is>
      </c>
      <c r="L19" s="13"/>
      <c r="M19" s="13"/>
      <c r="N19" s="13" t="inlineStr">
        <is>
          <t xml:space="preserve">Gun</t>
        </is>
      </c>
      <c r="O19" s="13" t="inlineStr">
        <is>
          <t xml:space="preserve">Run</t>
        </is>
      </c>
      <c r="P19" s="13"/>
      <c r="Q19" s="13"/>
      <c r="R19" s="13"/>
      <c r="S19" s="13"/>
      <c r="T19" s="13"/>
      <c r="U19" s="13"/>
      <c r="V19" s="13" t="inlineStr">
        <is>
          <t xml:space="preserve">S.Barkley</t>
        </is>
      </c>
      <c r="W19" s="13" t="inlineStr">
        <is>
          <t xml:space="preserve">Run - Gain</t>
        </is>
      </c>
      <c r="X19" s="13">
        <v>1</v>
      </c>
      <c r="Y19" s="13"/>
      <c r="Z19" s="13"/>
      <c r="AA19" s="13"/>
      <c r="AB19" s="13"/>
      <c r="AC19" s="13"/>
      <c r="AD19" s="13"/>
      <c r="AE19" s="13" t="inlineStr">
        <is>
          <t xml:space="preserve">WAS 18. (Shotgun) S.Barkley right tackle to WAS 17 for 1 yard. | No motion.</t>
        </is>
      </c>
    </row>
    <row r="20" spans="1:31" ht="15" customHeight="1">
      <c r="A20" s="11" t="str">
        <f>IF(B20="","","W"&amp;B20&amp;"-"&amp;TEXT(COUNTIF($B$5:B20,B20),"000"))</f>
        <v>W1-016</v>
      </c>
      <c r="B20" s="13">
        <v>1</v>
      </c>
      <c r="C20" s="13">
        <v>2</v>
      </c>
      <c r="D20" s="13" t="inlineStr">
        <is>
          <t xml:space="preserve">3</t>
        </is>
      </c>
      <c r="E20" s="13">
        <v>17</v>
      </c>
      <c r="F20" s="13" t="inlineStr">
        <is>
          <t xml:space="preserve">Opp 20-11 (Red)</t>
        </is>
      </c>
      <c r="G20" s="13" t="inlineStr">
        <is>
          <t xml:space="preserve">Right</t>
        </is>
      </c>
      <c r="H20" s="13" t="inlineStr">
        <is>
          <t xml:space="preserve">11</t>
        </is>
      </c>
      <c r="I20" s="13" t="inlineStr">
        <is>
          <t xml:space="preserve">2x2 'D'</t>
        </is>
      </c>
      <c r="J20" s="13"/>
      <c r="K20" s="13" t="inlineStr">
        <is>
          <t xml:space="preserve">Rt</t>
        </is>
      </c>
      <c r="L20" s="13"/>
      <c r="M20" s="13"/>
      <c r="N20" s="13" t="inlineStr">
        <is>
          <t xml:space="preserve">Gun</t>
        </is>
      </c>
      <c r="O20" s="13"/>
      <c r="P20" s="13"/>
      <c r="Q20" s="13"/>
      <c r="R20" s="13"/>
      <c r="S20" s="13"/>
      <c r="T20" s="13"/>
      <c r="U20" s="13"/>
      <c r="V20" s="13" t="inlineStr">
        <is>
          <t xml:space="preserve">D.Goedert</t>
        </is>
      </c>
      <c r="W20" s="13" t="inlineStr">
        <is>
          <t xml:space="preserve">Touchdown</t>
        </is>
      </c>
      <c r="X20" s="13">
        <v>17</v>
      </c>
      <c r="Y20" s="13"/>
      <c r="Z20" s="13"/>
      <c r="AA20" s="13"/>
      <c r="AB20" s="13"/>
      <c r="AC20" s="13"/>
      <c r="AD20" s="13"/>
      <c r="AE20" s="13" t="inlineStr">
        <is>
          <t xml:space="preserve">WAS 17. (Shotgun) J.Hurts pass deep right to D.Goedert for 17 yards, TD. | Goedert flexed R (traced on release, Medium).</t>
        </is>
      </c>
    </row>
    <row r="21" spans="1:31" ht="15" customHeight="1">
      <c r="A21" s="11" t="str">
        <f>IF(B21="","","W"&amp;B21&amp;"-"&amp;TEXT(COUNTIF($B$5:B21,B21),"000"))</f>
        <v>W1-017</v>
      </c>
      <c r="B21" s="13">
        <v>1</v>
      </c>
      <c r="C21" s="13">
        <v>2</v>
      </c>
      <c r="D21" s="13" t="inlineStr">
        <is>
          <t xml:space="preserve">1</t>
        </is>
      </c>
      <c r="E21" s="13">
        <v>10</v>
      </c>
      <c r="F21" s="13" t="inlineStr">
        <is>
          <t xml:space="preserve">Own 21-40</t>
        </is>
      </c>
      <c r="G21" s="13" t="inlineStr">
        <is>
          <t xml:space="preserve">Right</t>
        </is>
      </c>
      <c r="H21" s="13" t="inlineStr">
        <is>
          <t xml:space="preserve">11</t>
        </is>
      </c>
      <c r="I21" s="13" t="inlineStr">
        <is>
          <t xml:space="preserve">2 Back</t>
        </is>
      </c>
      <c r="J21" s="13"/>
      <c r="K21" s="13" t="inlineStr">
        <is>
          <t xml:space="preserve">Rt</t>
        </is>
      </c>
      <c r="L21" s="13"/>
      <c r="M21" s="13"/>
      <c r="N21" s="13" t="inlineStr">
        <is>
          <t xml:space="preserve">Under Center</t>
        </is>
      </c>
      <c r="O21" s="13" t="inlineStr">
        <is>
          <t xml:space="preserve">Run</t>
        </is>
      </c>
      <c r="P21" s="13"/>
      <c r="Q21" s="13"/>
      <c r="R21" s="13"/>
      <c r="S21" s="13"/>
      <c r="T21" s="13"/>
      <c r="U21" s="13"/>
      <c r="V21" s="13" t="inlineStr">
        <is>
          <t xml:space="preserve">S.Barkley</t>
        </is>
      </c>
      <c r="W21" s="13" t="inlineStr">
        <is>
          <t xml:space="preserve">Run - Gain</t>
        </is>
      </c>
      <c r="X21" s="13">
        <v>4</v>
      </c>
      <c r="Y21" s="13"/>
      <c r="Z21" s="13"/>
      <c r="AA21" s="13"/>
      <c r="AB21" s="13"/>
      <c r="AC21" s="13"/>
      <c r="AD21" s="13"/>
      <c r="AE21" s="13" t="inlineStr">
        <is>
          <t xml:space="preserve">PHI 27. S.Barkley left tackle to PHI 31 for 4 yards. | Str by Y tiebreak (Goedert side). Motion: receiver / behind QB / out to wing R / at snap.</t>
        </is>
      </c>
    </row>
    <row r="22" spans="1:31" ht="15" customHeight="1">
      <c r="A22" s="11" t="str">
        <f>IF(B22="","","W"&amp;B22&amp;"-"&amp;TEXT(COUNTIF($B$5:B22,B22),"000"))</f>
        <v>W1-018</v>
      </c>
      <c r="B22" s="13">
        <v>1</v>
      </c>
      <c r="C22" s="13">
        <v>2</v>
      </c>
      <c r="D22" s="13" t="inlineStr">
        <is>
          <t xml:space="preserve">2</t>
        </is>
      </c>
      <c r="E22" s="13">
        <v>6</v>
      </c>
      <c r="F22" s="13" t="inlineStr">
        <is>
          <t xml:space="preserve">Own 21-40</t>
        </is>
      </c>
      <c r="G22" s="13" t="inlineStr">
        <is>
          <t xml:space="preserve">Left</t>
        </is>
      </c>
      <c r="H22" s="13" t="inlineStr">
        <is>
          <t xml:space="preserve">11</t>
        </is>
      </c>
      <c r="I22" s="13" t="inlineStr">
        <is>
          <t xml:space="preserve">2x2 'D'</t>
        </is>
      </c>
      <c r="J22" s="13"/>
      <c r="K22" s="13" t="inlineStr">
        <is>
          <t xml:space="preserve">Rt</t>
        </is>
      </c>
      <c r="L22" s="13"/>
      <c r="M22" s="13"/>
      <c r="N22" s="13" t="inlineStr">
        <is>
          <t xml:space="preserve">Gun</t>
        </is>
      </c>
      <c r="O22" s="13"/>
      <c r="P22" s="13"/>
      <c r="Q22" s="13"/>
      <c r="R22" s="13"/>
      <c r="S22" s="13"/>
      <c r="T22" s="13"/>
      <c r="U22" s="13"/>
      <c r="V22" s="13" t="inlineStr">
        <is>
          <t xml:space="preserve">M.Lemon</t>
        </is>
      </c>
      <c r="W22" s="13" t="inlineStr">
        <is>
          <t xml:space="preserve">Incomplete</t>
        </is>
      </c>
      <c r="X22" s="13">
        <v>0</v>
      </c>
      <c r="Y22" s="13"/>
      <c r="Z22" s="13"/>
      <c r="AA22" s="13"/>
      <c r="AB22" s="13"/>
      <c r="AC22" s="13"/>
      <c r="AD22" s="13"/>
      <c r="AE22" s="13" t="inlineStr">
        <is>
          <t xml:space="preserve">PHI 31. (Shotgun) J.Hurts pass incomplete short left to M.Lemon (K.Chaisson). | Goedert #88 flexed R on Endzone.</t>
        </is>
      </c>
    </row>
    <row r="23" spans="1:31" ht="15" customHeight="1">
      <c r="A23" s="11" t="str">
        <f>IF(B23="","","W"&amp;B23&amp;"-"&amp;TEXT(COUNTIF($B$5:B23,B23),"000"))</f>
        <v>W1-019</v>
      </c>
      <c r="B23" s="13">
        <v>1</v>
      </c>
      <c r="C23" s="13">
        <v>2</v>
      </c>
      <c r="D23" s="13" t="inlineStr">
        <is>
          <t xml:space="preserve">3</t>
        </is>
      </c>
      <c r="E23" s="13">
        <v>6</v>
      </c>
      <c r="F23" s="13" t="inlineStr">
        <is>
          <t xml:space="preserve">Own 21-40</t>
        </is>
      </c>
      <c r="G23" s="13" t="inlineStr">
        <is>
          <t xml:space="preserve">Left</t>
        </is>
      </c>
      <c r="H23" s="13" t="inlineStr">
        <is>
          <t xml:space="preserve">11</t>
        </is>
      </c>
      <c r="I23" s="13" t="inlineStr">
        <is>
          <t xml:space="preserve">3x1 'T'</t>
        </is>
      </c>
      <c r="J23" s="13"/>
      <c r="K23" s="13" t="inlineStr">
        <is>
          <t xml:space="preserve">Rt</t>
        </is>
      </c>
      <c r="L23" s="13"/>
      <c r="M23" s="13"/>
      <c r="N23" s="13" t="inlineStr">
        <is>
          <t xml:space="preserve">Gun</t>
        </is>
      </c>
      <c r="O23" s="13"/>
      <c r="P23" s="13"/>
      <c r="Q23" s="13"/>
      <c r="R23" s="13"/>
      <c r="S23" s="13"/>
      <c r="T23" s="13"/>
      <c r="U23" s="13"/>
      <c r="V23" s="13" t="inlineStr">
        <is>
          <t xml:space="preserve">D.Wicks</t>
        </is>
      </c>
      <c r="W23" s="13" t="inlineStr">
        <is>
          <t xml:space="preserve">Incomplete</t>
        </is>
      </c>
      <c r="X23" s="13">
        <v>0</v>
      </c>
      <c r="Y23" s="13"/>
      <c r="Z23" s="13"/>
      <c r="AA23" s="13"/>
      <c r="AB23" s="13"/>
      <c r="AC23" s="13"/>
      <c r="AD23" s="13"/>
      <c r="AE23" s="13" t="inlineStr">
        <is>
          <t xml:space="preserve">PHI 31. (Shotgun) J.Hurts pass incomplete deep right to D.Wicks. | No motion.</t>
        </is>
      </c>
    </row>
    <row r="24" spans="1:31" ht="15" customHeight="1">
      <c r="A24" s="11" t="str">
        <f>IF(B24="","","W"&amp;B24&amp;"-"&amp;TEXT(COUNTIF($B$5:B24,B24),"000"))</f>
        <v>W1-020</v>
      </c>
      <c r="B24" s="13">
        <v>1</v>
      </c>
      <c r="C24" s="13">
        <v>2</v>
      </c>
      <c r="D24" s="13" t="inlineStr">
        <is>
          <t xml:space="preserve">1</t>
        </is>
      </c>
      <c r="E24" s="13">
        <v>10</v>
      </c>
      <c r="F24" s="13" t="inlineStr">
        <is>
          <t xml:space="preserve">Own 21-40</t>
        </is>
      </c>
      <c r="G24" s="13" t="inlineStr">
        <is>
          <t xml:space="preserve">Right</t>
        </is>
      </c>
      <c r="H24" s="13" t="inlineStr">
        <is>
          <t xml:space="preserve">11</t>
        </is>
      </c>
      <c r="I24" s="13" t="inlineStr">
        <is>
          <t xml:space="preserve">2x2 'D'</t>
        </is>
      </c>
      <c r="J24" s="13"/>
      <c r="K24" s="13" t="inlineStr">
        <is>
          <t xml:space="preserve">Rt</t>
        </is>
      </c>
      <c r="L24" s="13"/>
      <c r="M24" s="13"/>
      <c r="N24" s="13" t="inlineStr">
        <is>
          <t xml:space="preserve">Under Center</t>
        </is>
      </c>
      <c r="O24" s="13"/>
      <c r="P24" s="13"/>
      <c r="Q24" s="13"/>
      <c r="R24" s="13"/>
      <c r="S24" s="13"/>
      <c r="T24" s="13"/>
      <c r="U24" s="13"/>
      <c r="V24" s="13"/>
      <c r="W24" s="13" t="inlineStr">
        <is>
          <t xml:space="preserve">Incomplete</t>
        </is>
      </c>
      <c r="X24" s="13">
        <v>0</v>
      </c>
      <c r="Y24" s="13"/>
      <c r="Z24" s="13"/>
      <c r="AA24" s="13"/>
      <c r="AB24" s="13"/>
      <c r="AC24" s="13"/>
      <c r="AD24" s="13"/>
      <c r="AE24" s="13" t="inlineStr">
        <is>
          <t xml:space="preserve">PHI 38. J.Hurts pass incomplete short right, no target listed. | Motion: WR / wide R / in toward formation / at snap.</t>
        </is>
      </c>
    </row>
    <row r="25" spans="1:31" ht="15" customHeight="1">
      <c r="A25" s="11" t="str">
        <f>IF(B25="","","W"&amp;B25&amp;"-"&amp;TEXT(COUNTIF($B$5:B25,B25),"000"))</f>
        <v>W1-021</v>
      </c>
      <c r="B25" s="13">
        <v>1</v>
      </c>
      <c r="C25" s="13">
        <v>2</v>
      </c>
      <c r="D25" s="13" t="inlineStr">
        <is>
          <t xml:space="preserve">2</t>
        </is>
      </c>
      <c r="E25" s="13">
        <v>10</v>
      </c>
      <c r="F25" s="13" t="inlineStr">
        <is>
          <t xml:space="preserve">Own 21-40</t>
        </is>
      </c>
      <c r="G25" s="13" t="inlineStr">
        <is>
          <t xml:space="preserve">Right</t>
        </is>
      </c>
      <c r="H25" s="13" t="inlineStr">
        <is>
          <t xml:space="preserve">11</t>
        </is>
      </c>
      <c r="I25" s="13" t="inlineStr">
        <is>
          <t xml:space="preserve">3x1 'T'</t>
        </is>
      </c>
      <c r="J25" s="13"/>
      <c r="K25" s="13" t="inlineStr">
        <is>
          <t xml:space="preserve">Lt</t>
        </is>
      </c>
      <c r="L25" s="13"/>
      <c r="M25" s="13"/>
      <c r="N25" s="13" t="inlineStr">
        <is>
          <t xml:space="preserve">Gun</t>
        </is>
      </c>
      <c r="O25" s="13" t="inlineStr">
        <is>
          <t xml:space="preserve">Run</t>
        </is>
      </c>
      <c r="P25" s="13"/>
      <c r="Q25" s="13"/>
      <c r="R25" s="13"/>
      <c r="S25" s="13"/>
      <c r="T25" s="13"/>
      <c r="U25" s="13"/>
      <c r="V25" s="13" t="inlineStr">
        <is>
          <t xml:space="preserve">S.Barkley</t>
        </is>
      </c>
      <c r="W25" s="13" t="inlineStr">
        <is>
          <t xml:space="preserve">Run - Gain</t>
        </is>
      </c>
      <c r="X25" s="13">
        <v>8</v>
      </c>
      <c r="Y25" s="13"/>
      <c r="Z25" s="13"/>
      <c r="AA25" s="13"/>
      <c r="AB25" s="13"/>
      <c r="AC25" s="13"/>
      <c r="AD25" s="13"/>
      <c r="AE25" s="13" t="inlineStr">
        <is>
          <t xml:space="preserve">PHI 38. (Shotgun) S.Barkley left end to PHI 46 for 8 yards. | Sideline only (Endzone clip missing).</t>
        </is>
      </c>
    </row>
    <row r="26" spans="1:31" ht="15" customHeight="1">
      <c r="A26" s="11" t="str">
        <f>IF(B26="","","W"&amp;B26&amp;"-"&amp;TEXT(COUNTIF($B$5:B26,B26),"000"))</f>
        <v>W1-022</v>
      </c>
      <c r="B26" s="13">
        <v>1</v>
      </c>
      <c r="C26" s="13">
        <v>2</v>
      </c>
      <c r="D26" s="13" t="inlineStr">
        <is>
          <t xml:space="preserve">3</t>
        </is>
      </c>
      <c r="E26" s="13">
        <v>2</v>
      </c>
      <c r="F26" s="13" t="inlineStr">
        <is>
          <t xml:space="preserve">Own 41 to Mid</t>
        </is>
      </c>
      <c r="G26" s="13" t="inlineStr">
        <is>
          <t xml:space="preserve">Left</t>
        </is>
      </c>
      <c r="H26" s="13" t="inlineStr">
        <is>
          <t xml:space="preserve">11</t>
        </is>
      </c>
      <c r="I26" s="13" t="inlineStr">
        <is>
          <t xml:space="preserve">3x1 'T'</t>
        </is>
      </c>
      <c r="J26" s="13"/>
      <c r="K26" s="13" t="inlineStr">
        <is>
          <t xml:space="preserve">Rt</t>
        </is>
      </c>
      <c r="L26" s="13"/>
      <c r="M26" s="13"/>
      <c r="N26" s="13" t="inlineStr">
        <is>
          <t xml:space="preserve">Gun</t>
        </is>
      </c>
      <c r="O26" s="13" t="inlineStr">
        <is>
          <t xml:space="preserve">Run</t>
        </is>
      </c>
      <c r="P26" s="13"/>
      <c r="Q26" s="13"/>
      <c r="R26" s="13"/>
      <c r="S26" s="13"/>
      <c r="T26" s="13"/>
      <c r="U26" s="13"/>
      <c r="V26" s="13" t="inlineStr">
        <is>
          <t xml:space="preserve">S.Barkley</t>
        </is>
      </c>
      <c r="W26" s="13" t="inlineStr">
        <is>
          <t xml:space="preserve">Run - Gain</t>
        </is>
      </c>
      <c r="X26" s="13">
        <v>42</v>
      </c>
      <c r="Y26" s="13"/>
      <c r="Z26" s="13"/>
      <c r="AA26" s="13"/>
      <c r="AB26" s="13"/>
      <c r="AC26" s="13"/>
      <c r="AD26" s="13"/>
      <c r="AE26" s="13" t="inlineStr">
        <is>
          <t xml:space="preserve">PHI 46. (No Huddle, Shotgun) S.Barkley right guard to WAS 12 for 42 yards. | Sideline only (Endzone clip missing).</t>
        </is>
      </c>
    </row>
    <row r="27" spans="1:31" ht="15" customHeight="1">
      <c r="A27" s="11" t="str">
        <f>IF(B27="","","W"&amp;B27&amp;"-"&amp;TEXT(COUNTIF($B$5:B27,B27),"000"))</f>
        <v>W1-023</v>
      </c>
      <c r="B27" s="13">
        <v>1</v>
      </c>
      <c r="C27" s="13">
        <v>2</v>
      </c>
      <c r="D27" s="13" t="inlineStr">
        <is>
          <t xml:space="preserve">1</t>
        </is>
      </c>
      <c r="E27" s="13">
        <v>10</v>
      </c>
      <c r="F27" s="13" t="inlineStr">
        <is>
          <t xml:space="preserve">Opp 20-11 (Red)</t>
        </is>
      </c>
      <c r="G27" s="13" t="inlineStr">
        <is>
          <t xml:space="preserve">Right</t>
        </is>
      </c>
      <c r="H27" s="13" t="inlineStr">
        <is>
          <t xml:space="preserve">12</t>
        </is>
      </c>
      <c r="I27" s="13" t="inlineStr">
        <is>
          <t xml:space="preserve">3x1 'T'</t>
        </is>
      </c>
      <c r="J27" s="13"/>
      <c r="K27" s="13" t="inlineStr">
        <is>
          <t xml:space="preserve">Lt</t>
        </is>
      </c>
      <c r="L27" s="13"/>
      <c r="M27" s="13"/>
      <c r="N27" s="13" t="inlineStr">
        <is>
          <t xml:space="preserve">Under Center</t>
        </is>
      </c>
      <c r="O27" s="13" t="inlineStr">
        <is>
          <t xml:space="preserve">Run</t>
        </is>
      </c>
      <c r="P27" s="13"/>
      <c r="Q27" s="13"/>
      <c r="R27" s="13"/>
      <c r="S27" s="13"/>
      <c r="T27" s="13"/>
      <c r="U27" s="13"/>
      <c r="V27" s="13" t="inlineStr">
        <is>
          <t xml:space="preserve">T.Bigsby</t>
        </is>
      </c>
      <c r="W27" s="13" t="inlineStr">
        <is>
          <t xml:space="preserve">Run - Gain</t>
        </is>
      </c>
      <c r="X27" s="13">
        <v>3</v>
      </c>
      <c r="Y27" s="13"/>
      <c r="Z27" s="13"/>
      <c r="AA27" s="13"/>
      <c r="AB27" s="13"/>
      <c r="AC27" s="13"/>
      <c r="AD27" s="13"/>
      <c r="AE27" s="13" t="inlineStr">
        <is>
          <t xml:space="preserve">WAS 12. T.Bigsby up the middle to WAS 9 for 3 yards. | Double tight L plus a WR.</t>
        </is>
      </c>
    </row>
    <row r="28" spans="1:31" ht="15" customHeight="1">
      <c r="A28" s="11" t="str">
        <f>IF(B28="","","W"&amp;B28&amp;"-"&amp;TEXT(COUNTIF($B$5:B28,B28),"000"))</f>
        <v>W1-024</v>
      </c>
      <c r="B28" s="13">
        <v>1</v>
      </c>
      <c r="C28" s="13">
        <v>2</v>
      </c>
      <c r="D28" s="13" t="inlineStr">
        <is>
          <t xml:space="preserve">2</t>
        </is>
      </c>
      <c r="E28" s="13">
        <v>7</v>
      </c>
      <c r="F28" s="13" t="inlineStr">
        <is>
          <t xml:space="preserve">Opp 10-1 (Goal Line)</t>
        </is>
      </c>
      <c r="G28" s="13" t="inlineStr">
        <is>
          <t xml:space="preserve">Middle</t>
        </is>
      </c>
      <c r="H28" s="13" t="inlineStr">
        <is>
          <t xml:space="preserve">12</t>
        </is>
      </c>
      <c r="I28" s="13" t="inlineStr">
        <is>
          <t xml:space="preserve">2x2 'D'</t>
        </is>
      </c>
      <c r="J28" s="13"/>
      <c r="K28" s="13" t="inlineStr">
        <is>
          <t xml:space="preserve">Rt</t>
        </is>
      </c>
      <c r="L28" s="13"/>
      <c r="M28" s="13"/>
      <c r="N28" s="13" t="inlineStr">
        <is>
          <t xml:space="preserve">Gun</t>
        </is>
      </c>
      <c r="O28" s="13"/>
      <c r="P28" s="13"/>
      <c r="Q28" s="13"/>
      <c r="R28" s="13"/>
      <c r="S28" s="13"/>
      <c r="T28" s="13"/>
      <c r="U28" s="13"/>
      <c r="V28" s="13" t="inlineStr">
        <is>
          <t xml:space="preserve">D.Wicks</t>
        </is>
      </c>
      <c r="W28" s="13" t="inlineStr">
        <is>
          <t xml:space="preserve">Touchdown</t>
        </is>
      </c>
      <c r="X28" s="13">
        <v>9</v>
      </c>
      <c r="Y28" s="13"/>
      <c r="Z28" s="13"/>
      <c r="AA28" s="13"/>
      <c r="AB28" s="13"/>
      <c r="AC28" s="13"/>
      <c r="AD28" s="13"/>
      <c r="AE28" s="13" t="inlineStr">
        <is>
          <t xml:space="preserve">WAS 9. (Shotgun) J.Hurts pass short left to D.Wicks for 9 yards, TD. | No motion.</t>
        </is>
      </c>
    </row>
    <row r="29" spans="1:31" ht="15" customHeight="1">
      <c r="A29" s="11" t="str">
        <f>IF(B29="","","W"&amp;B29&amp;"-"&amp;TEXT(COUNTIF($B$5:B29,B29),"000"))</f>
        <v>W1-025</v>
      </c>
      <c r="B29" s="13">
        <v>1</v>
      </c>
      <c r="C29" s="13">
        <v>2</v>
      </c>
      <c r="D29" s="13" t="inlineStr">
        <is>
          <t xml:space="preserve">1</t>
        </is>
      </c>
      <c r="E29" s="13">
        <v>10</v>
      </c>
      <c r="F29" s="13" t="inlineStr">
        <is>
          <t xml:space="preserve">Own 21-40</t>
        </is>
      </c>
      <c r="G29" s="13" t="inlineStr">
        <is>
          <t xml:space="preserve">Left</t>
        </is>
      </c>
      <c r="H29" s="13" t="inlineStr">
        <is>
          <t xml:space="preserve">11</t>
        </is>
      </c>
      <c r="I29" s="13" t="inlineStr">
        <is>
          <t xml:space="preserve">3x1 'T'</t>
        </is>
      </c>
      <c r="J29" s="13"/>
      <c r="K29" s="13" t="inlineStr">
        <is>
          <t xml:space="preserve">Lt</t>
        </is>
      </c>
      <c r="L29" s="13"/>
      <c r="M29" s="13"/>
      <c r="N29" s="13" t="inlineStr">
        <is>
          <t xml:space="preserve">Gun</t>
        </is>
      </c>
      <c r="O29" s="13" t="inlineStr">
        <is>
          <t xml:space="preserve">Scramble</t>
        </is>
      </c>
      <c r="P29" s="13"/>
      <c r="Q29" s="13"/>
      <c r="R29" s="13"/>
      <c r="S29" s="13"/>
      <c r="T29" s="13"/>
      <c r="U29" s="13"/>
      <c r="V29" s="13" t="inlineStr">
        <is>
          <t xml:space="preserve">J.Hurts</t>
        </is>
      </c>
      <c r="W29" s="13" t="inlineStr">
        <is>
          <t xml:space="preserve">Scramble</t>
        </is>
      </c>
      <c r="X29" s="13">
        <v>5</v>
      </c>
      <c r="Y29" s="13"/>
      <c r="Z29" s="13"/>
      <c r="AA29" s="13"/>
      <c r="AB29" s="13"/>
      <c r="AC29" s="13"/>
      <c r="AD29" s="13"/>
      <c r="AE29" s="13" t="inlineStr">
        <is>
          <t xml:space="preserve">PHI 29. (Shotgun) J.Hurts scrambles right end to PHI 34 for 5 yards. 2-min drill. | Motion: WR / wide L / across to R / at snap.</t>
        </is>
      </c>
    </row>
    <row r="30" spans="1:31" ht="15" customHeight="1">
      <c r="A30" s="11" t="str">
        <f>IF(B30="","","W"&amp;B30&amp;"-"&amp;TEXT(COUNTIF($B$5:B30,B30),"000"))</f>
        <v>W1-026</v>
      </c>
      <c r="B30" s="13">
        <v>1</v>
      </c>
      <c r="C30" s="13">
        <v>2</v>
      </c>
      <c r="D30" s="13" t="inlineStr">
        <is>
          <t xml:space="preserve">2</t>
        </is>
      </c>
      <c r="E30" s="13">
        <v>5</v>
      </c>
      <c r="F30" s="13" t="inlineStr">
        <is>
          <t xml:space="preserve">Own 21-40</t>
        </is>
      </c>
      <c r="G30" s="13" t="inlineStr">
        <is>
          <t xml:space="preserve">Right</t>
        </is>
      </c>
      <c r="H30" s="13" t="inlineStr">
        <is>
          <t xml:space="preserve">11</t>
        </is>
      </c>
      <c r="I30" s="13" t="inlineStr">
        <is>
          <t xml:space="preserve">2x2 'D'</t>
        </is>
      </c>
      <c r="J30" s="13"/>
      <c r="K30" s="13" t="inlineStr">
        <is>
          <t xml:space="preserve">Rt</t>
        </is>
      </c>
      <c r="L30" s="13"/>
      <c r="M30" s="13"/>
      <c r="N30" s="13" t="inlineStr">
        <is>
          <t xml:space="preserve">Gun</t>
        </is>
      </c>
      <c r="O30" s="13"/>
      <c r="P30" s="13"/>
      <c r="Q30" s="13"/>
      <c r="R30" s="13"/>
      <c r="S30" s="13"/>
      <c r="T30" s="13"/>
      <c r="U30" s="13"/>
      <c r="V30" s="13" t="inlineStr">
        <is>
          <t xml:space="preserve">D.Goedert</t>
        </is>
      </c>
      <c r="W30" s="13" t="inlineStr">
        <is>
          <t xml:space="preserve">Complete</t>
        </is>
      </c>
      <c r="X30" s="13">
        <v>5</v>
      </c>
      <c r="Y30" s="13"/>
      <c r="Z30" s="13"/>
      <c r="AA30" s="13"/>
      <c r="AB30" s="13"/>
      <c r="AC30" s="13"/>
      <c r="AD30" s="13"/>
      <c r="AE30" s="13" t="inlineStr">
        <is>
          <t xml:space="preserve">PHI 34. (No Huddle, Shotgun) J.Hurts pass short right to D.Goedert to PHI 39 for 5 yards. | No motion.</t>
        </is>
      </c>
    </row>
    <row r="31" spans="1:31" ht="15" customHeight="1">
      <c r="A31" s="11" t="str">
        <f>IF(B31="","","W"&amp;B31&amp;"-"&amp;TEXT(COUNTIF($B$5:B31,B31),"000"))</f>
        <v>W1-027</v>
      </c>
      <c r="B31" s="13">
        <v>1</v>
      </c>
      <c r="C31" s="13">
        <v>2</v>
      </c>
      <c r="D31" s="13" t="inlineStr">
        <is>
          <t xml:space="preserve">1</t>
        </is>
      </c>
      <c r="E31" s="13">
        <v>10</v>
      </c>
      <c r="F31" s="13" t="inlineStr">
        <is>
          <t xml:space="preserve">Own 21-40</t>
        </is>
      </c>
      <c r="G31" s="13" t="inlineStr">
        <is>
          <t xml:space="preserve">Right</t>
        </is>
      </c>
      <c r="H31" s="13" t="inlineStr">
        <is>
          <t xml:space="preserve">11</t>
        </is>
      </c>
      <c r="I31" s="13" t="inlineStr">
        <is>
          <t xml:space="preserve">2x2 'D'</t>
        </is>
      </c>
      <c r="J31" s="13"/>
      <c r="K31" s="13" t="inlineStr">
        <is>
          <t xml:space="preserve">Rt</t>
        </is>
      </c>
      <c r="L31" s="13"/>
      <c r="M31" s="13"/>
      <c r="N31" s="13" t="inlineStr">
        <is>
          <t xml:space="preserve">Gun</t>
        </is>
      </c>
      <c r="O31" s="13"/>
      <c r="P31" s="13"/>
      <c r="Q31" s="13"/>
      <c r="R31" s="13"/>
      <c r="S31" s="13"/>
      <c r="T31" s="13"/>
      <c r="U31" s="13"/>
      <c r="V31" s="13" t="inlineStr">
        <is>
          <t xml:space="preserve">W.Shipley</t>
        </is>
      </c>
      <c r="W31" s="13" t="inlineStr">
        <is>
          <t xml:space="preserve">Complete</t>
        </is>
      </c>
      <c r="X31" s="13">
        <v>8</v>
      </c>
      <c r="Y31" s="13"/>
      <c r="Z31" s="13"/>
      <c r="AA31" s="13"/>
      <c r="AB31" s="13"/>
      <c r="AC31" s="13"/>
      <c r="AD31" s="13"/>
      <c r="AE31" s="13" t="inlineStr">
        <is>
          <t xml:space="preserve">PHI 39. (No Huddle, Shotgun) J.Hurts pass short right to W.Shipley, ran ob at PHI 47 for 8 yards. | No motion.</t>
        </is>
      </c>
    </row>
    <row r="32" spans="1:31" ht="15" customHeight="1">
      <c r="A32" s="11" t="str">
        <f>IF(B32="","","W"&amp;B32&amp;"-"&amp;TEXT(COUNTIF($B$5:B32,B32),"000"))</f>
        <v>W1-028</v>
      </c>
      <c r="B32" s="13">
        <v>1</v>
      </c>
      <c r="C32" s="13">
        <v>2</v>
      </c>
      <c r="D32" s="13" t="inlineStr">
        <is>
          <t xml:space="preserve">2</t>
        </is>
      </c>
      <c r="E32" s="13">
        <v>2</v>
      </c>
      <c r="F32" s="13" t="inlineStr">
        <is>
          <t xml:space="preserve">Own 41 to Mid</t>
        </is>
      </c>
      <c r="G32" s="13" t="inlineStr">
        <is>
          <t xml:space="preserve">Right</t>
        </is>
      </c>
      <c r="H32" s="13" t="inlineStr">
        <is>
          <t xml:space="preserve">11</t>
        </is>
      </c>
      <c r="I32" s="13" t="inlineStr">
        <is>
          <t xml:space="preserve">3x1 'T'</t>
        </is>
      </c>
      <c r="J32" s="13"/>
      <c r="K32" s="13" t="inlineStr">
        <is>
          <t xml:space="preserve">Rt</t>
        </is>
      </c>
      <c r="L32" s="13"/>
      <c r="M32" s="13"/>
      <c r="N32" s="13" t="inlineStr">
        <is>
          <t xml:space="preserve">Gun</t>
        </is>
      </c>
      <c r="O32" s="13"/>
      <c r="P32" s="13"/>
      <c r="Q32" s="13"/>
      <c r="R32" s="13"/>
      <c r="S32" s="13"/>
      <c r="T32" s="13"/>
      <c r="U32" s="13"/>
      <c r="V32" s="13" t="inlineStr">
        <is>
          <t xml:space="preserve">D.Smith</t>
        </is>
      </c>
      <c r="W32" s="13" t="inlineStr">
        <is>
          <t xml:space="preserve">Incomplete</t>
        </is>
      </c>
      <c r="X32" s="13">
        <v>0</v>
      </c>
      <c r="Y32" s="13"/>
      <c r="Z32" s="13"/>
      <c r="AA32" s="13"/>
      <c r="AB32" s="13"/>
      <c r="AC32" s="13"/>
      <c r="AD32" s="13"/>
      <c r="AE32" s="13" t="inlineStr">
        <is>
          <t xml:space="preserve">PHI 47. (Shotgun) J.Hurts pass incomplete deep left to D.Smith. | Mundt is the TE. Motion: R slot / in toward box / at snap.</t>
        </is>
      </c>
    </row>
    <row r="33" spans="1:31" ht="15" customHeight="1">
      <c r="A33" s="11" t="str">
        <f>IF(B33="","","W"&amp;B33&amp;"-"&amp;TEXT(COUNTIF($B$5:B33,B33),"000"))</f>
        <v>W1-029</v>
      </c>
      <c r="B33" s="13">
        <v>1</v>
      </c>
      <c r="C33" s="13">
        <v>2</v>
      </c>
      <c r="D33" s="13" t="inlineStr">
        <is>
          <t xml:space="preserve">3</t>
        </is>
      </c>
      <c r="E33" s="13">
        <v>2</v>
      </c>
      <c r="F33" s="13" t="inlineStr">
        <is>
          <t xml:space="preserve">Own 41 to Mid</t>
        </is>
      </c>
      <c r="G33" s="13" t="inlineStr">
        <is>
          <t xml:space="preserve">Right</t>
        </is>
      </c>
      <c r="H33" s="13" t="inlineStr">
        <is>
          <t xml:space="preserve">11</t>
        </is>
      </c>
      <c r="I33" s="13" t="inlineStr">
        <is>
          <t xml:space="preserve">3x1 'T'</t>
        </is>
      </c>
      <c r="J33" s="13"/>
      <c r="K33" s="13" t="inlineStr">
        <is>
          <t xml:space="preserve">Lt</t>
        </is>
      </c>
      <c r="L33" s="13"/>
      <c r="M33" s="13"/>
      <c r="N33" s="13" t="inlineStr">
        <is>
          <t xml:space="preserve">Gun</t>
        </is>
      </c>
      <c r="O33" s="13"/>
      <c r="P33" s="13"/>
      <c r="Q33" s="13"/>
      <c r="R33" s="13"/>
      <c r="S33" s="13"/>
      <c r="T33" s="13"/>
      <c r="U33" s="13"/>
      <c r="V33" s="13" t="inlineStr">
        <is>
          <t xml:space="preserve">D.Smith</t>
        </is>
      </c>
      <c r="W33" s="13" t="inlineStr">
        <is>
          <t xml:space="preserve">Incomplete</t>
        </is>
      </c>
      <c r="X33" s="13">
        <v>0</v>
      </c>
      <c r="Y33" s="13"/>
      <c r="Z33" s="13"/>
      <c r="AA33" s="13"/>
      <c r="AB33" s="13"/>
      <c r="AC33" s="13"/>
      <c r="AD33" s="13"/>
      <c r="AE33" s="13" t="inlineStr">
        <is>
          <t xml:space="preserve">PHI 47. (Shotgun) J.Hurts pass incomplete short middle to D.Smith (C.Omenihu). | Mundt is the TE. Motion: WR / wide L / across to R next to Mundt / at snap.</t>
        </is>
      </c>
    </row>
    <row r="34" spans="1:31" ht="15" customHeight="1">
      <c r="A34" s="11" t="str">
        <f>IF(B34="","","W"&amp;B34&amp;"-"&amp;TEXT(COUNTIF($B$5:B34,B34),"000"))</f>
        <v>W1-030</v>
      </c>
      <c r="B34" s="13">
        <v>1</v>
      </c>
      <c r="C34" s="13">
        <v>3</v>
      </c>
      <c r="D34" s="13" t="inlineStr">
        <is>
          <t xml:space="preserve">1</t>
        </is>
      </c>
      <c r="E34" s="13">
        <v>10</v>
      </c>
      <c r="F34" s="13" t="inlineStr">
        <is>
          <t xml:space="preserve">Own 21-40</t>
        </is>
      </c>
      <c r="G34" s="13" t="inlineStr">
        <is>
          <t xml:space="preserve">Right</t>
        </is>
      </c>
      <c r="H34" s="13" t="inlineStr">
        <is>
          <t xml:space="preserve">12</t>
        </is>
      </c>
      <c r="I34" s="13" t="inlineStr">
        <is>
          <t xml:space="preserve">2x2 'D'</t>
        </is>
      </c>
      <c r="J34" s="13"/>
      <c r="K34" s="13" t="inlineStr">
        <is>
          <t xml:space="preserve">Lt</t>
        </is>
      </c>
      <c r="L34" s="13"/>
      <c r="M34" s="13"/>
      <c r="N34" s="13" t="inlineStr">
        <is>
          <t xml:space="preserve">Under Center</t>
        </is>
      </c>
      <c r="O34" s="13" t="inlineStr">
        <is>
          <t xml:space="preserve">Run</t>
        </is>
      </c>
      <c r="P34" s="13"/>
      <c r="Q34" s="13"/>
      <c r="R34" s="13"/>
      <c r="S34" s="13"/>
      <c r="T34" s="13"/>
      <c r="U34" s="13"/>
      <c r="V34" s="13" t="inlineStr">
        <is>
          <t xml:space="preserve">S.Barkley</t>
        </is>
      </c>
      <c r="W34" s="13" t="inlineStr">
        <is>
          <t xml:space="preserve">Run - Loss</t>
        </is>
      </c>
      <c r="X34" s="13">
        <v>-1</v>
      </c>
      <c r="Y34" s="13"/>
      <c r="Z34" s="13"/>
      <c r="AA34" s="13"/>
      <c r="AB34" s="13"/>
      <c r="AC34" s="13"/>
      <c r="AD34" s="13"/>
      <c r="AE34" s="13" t="inlineStr">
        <is>
          <t xml:space="preserve">PHI 26. S.Barkley right guard to PHI 25 for -1 yards. | Str by Y tiebreak (Goedert side). Hash confirmed Right on full-zoom recheck.</t>
        </is>
      </c>
    </row>
    <row r="35" spans="1:31" ht="15" customHeight="1">
      <c r="A35" s="11" t="str">
        <f>IF(B35="","","W"&amp;B35&amp;"-"&amp;TEXT(COUNTIF($B$5:B35,B35),"000"))</f>
        <v>W1-031</v>
      </c>
      <c r="B35" s="13">
        <v>1</v>
      </c>
      <c r="C35" s="13">
        <v>3</v>
      </c>
      <c r="D35" s="13" t="inlineStr">
        <is>
          <t xml:space="preserve">2</t>
        </is>
      </c>
      <c r="E35" s="13">
        <v>11</v>
      </c>
      <c r="F35" s="13" t="inlineStr">
        <is>
          <t xml:space="preserve">Own 21-40</t>
        </is>
      </c>
      <c r="G35" s="13" t="inlineStr">
        <is>
          <t xml:space="preserve">Right</t>
        </is>
      </c>
      <c r="H35" s="13" t="inlineStr">
        <is>
          <t xml:space="preserve">11</t>
        </is>
      </c>
      <c r="I35" s="13" t="inlineStr">
        <is>
          <t xml:space="preserve">2x2 'D'</t>
        </is>
      </c>
      <c r="J35" s="13"/>
      <c r="K35" s="13"/>
      <c r="L35" s="13"/>
      <c r="M35" s="13"/>
      <c r="N35" s="13" t="inlineStr">
        <is>
          <t xml:space="preserve">Gun</t>
        </is>
      </c>
      <c r="O35" s="13"/>
      <c r="P35" s="13"/>
      <c r="Q35" s="13"/>
      <c r="R35" s="13"/>
      <c r="S35" s="13"/>
      <c r="T35" s="13"/>
      <c r="U35" s="13"/>
      <c r="V35" s="13" t="inlineStr">
        <is>
          <t xml:space="preserve">M.Lemon</t>
        </is>
      </c>
      <c r="W35" s="13" t="inlineStr">
        <is>
          <t xml:space="preserve">Complete</t>
        </is>
      </c>
      <c r="X35" s="13">
        <v>-3</v>
      </c>
      <c r="Y35" s="13"/>
      <c r="Z35" s="13"/>
      <c r="AA35" s="13"/>
      <c r="AB35" s="13"/>
      <c r="AC35" s="13"/>
      <c r="AD35" s="13"/>
      <c r="AE35" s="13" t="inlineStr">
        <is>
          <t xml:space="preserve">PHI 25. (Shotgun) J.Hurts pass short left to M.Lemon to PHI 22 for -3 yards. | Str unknown: Y not readable.</t>
        </is>
      </c>
    </row>
    <row r="36" spans="1:31" ht="15" customHeight="1">
      <c r="A36" s="11" t="str">
        <f>IF(B36="","","W"&amp;B36&amp;"-"&amp;TEXT(COUNTIF($B$5:B36,B36),"000"))</f>
        <v>W1-032</v>
      </c>
      <c r="B36" s="13">
        <v>1</v>
      </c>
      <c r="C36" s="13">
        <v>3</v>
      </c>
      <c r="D36" s="13" t="inlineStr">
        <is>
          <t xml:space="preserve">3</t>
        </is>
      </c>
      <c r="E36" s="13">
        <v>14</v>
      </c>
      <c r="F36" s="13" t="inlineStr">
        <is>
          <t xml:space="preserve">Own 21-40</t>
        </is>
      </c>
      <c r="G36" s="13" t="inlineStr">
        <is>
          <t xml:space="preserve">Left</t>
        </is>
      </c>
      <c r="H36" s="13" t="inlineStr">
        <is>
          <t xml:space="preserve">11</t>
        </is>
      </c>
      <c r="I36" s="13" t="inlineStr">
        <is>
          <t xml:space="preserve">2x2 'D'</t>
        </is>
      </c>
      <c r="J36" s="13"/>
      <c r="K36" s="13" t="inlineStr">
        <is>
          <t xml:space="preserve">Rt</t>
        </is>
      </c>
      <c r="L36" s="13"/>
      <c r="M36" s="13"/>
      <c r="N36" s="13" t="inlineStr">
        <is>
          <t xml:space="preserve">Gun</t>
        </is>
      </c>
      <c r="O36" s="13"/>
      <c r="P36" s="13"/>
      <c r="Q36" s="13"/>
      <c r="R36" s="13"/>
      <c r="S36" s="13"/>
      <c r="T36" s="13"/>
      <c r="U36" s="13"/>
      <c r="V36" s="13" t="inlineStr">
        <is>
          <t xml:space="preserve">D.Goedert</t>
        </is>
      </c>
      <c r="W36" s="13" t="inlineStr">
        <is>
          <t xml:space="preserve">Complete</t>
        </is>
      </c>
      <c r="X36" s="13">
        <v>12</v>
      </c>
      <c r="Y36" s="13"/>
      <c r="Z36" s="13"/>
      <c r="AA36" s="13"/>
      <c r="AB36" s="13"/>
      <c r="AC36" s="13"/>
      <c r="AD36" s="13"/>
      <c r="AE36" s="13" t="inlineStr">
        <is>
          <t xml:space="preserve">PHI 22. (Shotgun) J.Hurts pass short left to D.Goedert, pushed ob at PHI 34 for 12 yards. | Sideline only.</t>
        </is>
      </c>
    </row>
    <row r="37" spans="1:31" ht="15" customHeight="1">
      <c r="A37" s="11" t="str">
        <f>IF(B37="","","W"&amp;B37&amp;"-"&amp;TEXT(COUNTIF($B$5:B37,B37),"000"))</f>
        <v>W1-033</v>
      </c>
      <c r="B37" s="13">
        <v>1</v>
      </c>
      <c r="C37" s="13">
        <v>3</v>
      </c>
      <c r="D37" s="13" t="inlineStr">
        <is>
          <t xml:space="preserve">1</t>
        </is>
      </c>
      <c r="E37" s="13">
        <v>10</v>
      </c>
      <c r="F37" s="13" t="inlineStr">
        <is>
          <t xml:space="preserve">Own 11-20</t>
        </is>
      </c>
      <c r="G37" s="13"/>
      <c r="H37" s="13" t="inlineStr">
        <is>
          <t xml:space="preserve">12</t>
        </is>
      </c>
      <c r="I37" s="13" t="inlineStr">
        <is>
          <t xml:space="preserve">3x1 'T'</t>
        </is>
      </c>
      <c r="J37" s="13"/>
      <c r="K37" s="13" t="inlineStr">
        <is>
          <t xml:space="preserve">Rt</t>
        </is>
      </c>
      <c r="L37" s="13"/>
      <c r="M37" s="13"/>
      <c r="N37" s="13" t="inlineStr">
        <is>
          <t xml:space="preserve">Under Center</t>
        </is>
      </c>
      <c r="O37" s="13"/>
      <c r="P37" s="13"/>
      <c r="Q37" s="13"/>
      <c r="R37" s="13"/>
      <c r="S37" s="13"/>
      <c r="T37" s="13"/>
      <c r="U37" s="13"/>
      <c r="V37" s="13"/>
      <c r="W37" s="13" t="inlineStr">
        <is>
          <t xml:space="preserve">Sack</t>
        </is>
      </c>
      <c r="X37" s="13">
        <v>-6</v>
      </c>
      <c r="Y37" s="13"/>
      <c r="Z37" s="13"/>
      <c r="AA37" s="13"/>
      <c r="AB37" s="13"/>
      <c r="AC37" s="13"/>
      <c r="AD37" s="13"/>
      <c r="AE37" s="13" t="inlineStr">
        <is>
          <t xml:space="preserve">PHI 20. J.Hurts sacked at PHI 14 for -6 yards (S.Styles). No shotgun tag: play-action candidate. | Hash unknown (drive start, single angle). Sideline only.</t>
        </is>
      </c>
    </row>
    <row r="38" spans="1:31" ht="15" customHeight="1">
      <c r="A38" s="11" t="str">
        <f>IF(B38="","","W"&amp;B38&amp;"-"&amp;TEXT(COUNTIF($B$5:B38,B38),"000"))</f>
        <v>W1-034</v>
      </c>
      <c r="B38" s="13">
        <v>1</v>
      </c>
      <c r="C38" s="13">
        <v>3</v>
      </c>
      <c r="D38" s="13" t="inlineStr">
        <is>
          <t xml:space="preserve">2</t>
        </is>
      </c>
      <c r="E38" s="13">
        <v>16</v>
      </c>
      <c r="F38" s="13" t="inlineStr">
        <is>
          <t xml:space="preserve">Own 11-20</t>
        </is>
      </c>
      <c r="G38" s="13" t="inlineStr">
        <is>
          <t xml:space="preserve">Left</t>
        </is>
      </c>
      <c r="H38" s="13" t="inlineStr">
        <is>
          <t xml:space="preserve">11</t>
        </is>
      </c>
      <c r="I38" s="13" t="inlineStr">
        <is>
          <t xml:space="preserve">3x1 'T'</t>
        </is>
      </c>
      <c r="J38" s="13"/>
      <c r="K38" s="13" t="inlineStr">
        <is>
          <t xml:space="preserve">Rt</t>
        </is>
      </c>
      <c r="L38" s="13"/>
      <c r="M38" s="13"/>
      <c r="N38" s="13" t="inlineStr">
        <is>
          <t xml:space="preserve">Gun</t>
        </is>
      </c>
      <c r="O38" s="13"/>
      <c r="P38" s="13"/>
      <c r="Q38" s="13"/>
      <c r="R38" s="13"/>
      <c r="S38" s="13"/>
      <c r="T38" s="13"/>
      <c r="U38" s="13"/>
      <c r="V38" s="13" t="inlineStr">
        <is>
          <t xml:space="preserve">D.Smith</t>
        </is>
      </c>
      <c r="W38" s="13" t="inlineStr">
        <is>
          <t xml:space="preserve">Complete</t>
        </is>
      </c>
      <c r="X38" s="13">
        <v>10</v>
      </c>
      <c r="Y38" s="13"/>
      <c r="Z38" s="13"/>
      <c r="AA38" s="13"/>
      <c r="AB38" s="13"/>
      <c r="AC38" s="13"/>
      <c r="AD38" s="13"/>
      <c r="AE38" s="13" t="inlineStr">
        <is>
          <t xml:space="preserve">PHI 14. (Shotgun) J.Hurts pass short left to D.Smith to PHI 24 for 10 yards. | Sideline only.</t>
        </is>
      </c>
    </row>
    <row r="39" spans="1:31" ht="15" customHeight="1">
      <c r="A39" s="11" t="str">
        <f>IF(B39="","","W"&amp;B39&amp;"-"&amp;TEXT(COUNTIF($B$5:B39,B39),"000"))</f>
        <v>W1-035</v>
      </c>
      <c r="B39" s="13">
        <v>1</v>
      </c>
      <c r="C39" s="13">
        <v>3</v>
      </c>
      <c r="D39" s="13" t="inlineStr">
        <is>
          <t xml:space="preserve">3</t>
        </is>
      </c>
      <c r="E39" s="13">
        <v>6</v>
      </c>
      <c r="F39" s="13" t="inlineStr">
        <is>
          <t xml:space="preserve">Own 21-40</t>
        </is>
      </c>
      <c r="G39" s="13" t="inlineStr">
        <is>
          <t xml:space="preserve">Left</t>
        </is>
      </c>
      <c r="H39" s="13" t="inlineStr">
        <is>
          <t xml:space="preserve">11</t>
        </is>
      </c>
      <c r="I39" s="13" t="inlineStr">
        <is>
          <t xml:space="preserve">2x2 'D'</t>
        </is>
      </c>
      <c r="J39" s="13"/>
      <c r="K39" s="13" t="inlineStr">
        <is>
          <t xml:space="preserve">Lt</t>
        </is>
      </c>
      <c r="L39" s="13"/>
      <c r="M39" s="13"/>
      <c r="N39" s="13" t="inlineStr">
        <is>
          <t xml:space="preserve">Gun</t>
        </is>
      </c>
      <c r="O39" s="13"/>
      <c r="P39" s="13"/>
      <c r="Q39" s="13"/>
      <c r="R39" s="13"/>
      <c r="S39" s="13"/>
      <c r="T39" s="13"/>
      <c r="U39" s="13"/>
      <c r="V39" s="13" t="inlineStr">
        <is>
          <t xml:space="preserve">D.Smith</t>
        </is>
      </c>
      <c r="W39" s="13" t="inlineStr">
        <is>
          <t xml:space="preserve">Incomplete</t>
        </is>
      </c>
      <c r="X39" s="13">
        <v>0</v>
      </c>
      <c r="Y39" s="13"/>
      <c r="Z39" s="13"/>
      <c r="AA39" s="13"/>
      <c r="AB39" s="13"/>
      <c r="AC39" s="13"/>
      <c r="AD39" s="13"/>
      <c r="AE39" s="13" t="inlineStr">
        <is>
          <t xml:space="preserve">PHI 24. (Shotgun) J.Hurts pass incomplete short left to D.Smith. | Sideline only.</t>
        </is>
      </c>
    </row>
    <row r="40" spans="1:31" ht="15" customHeight="1">
      <c r="A40" s="11" t="str">
        <f>IF(B40="","","W"&amp;B40&amp;"-"&amp;TEXT(COUNTIF($B$5:B40,B40),"000"))</f>
        <v>W1-036</v>
      </c>
      <c r="B40" s="13">
        <v>1</v>
      </c>
      <c r="C40" s="13">
        <v>3</v>
      </c>
      <c r="D40" s="13" t="inlineStr">
        <is>
          <t xml:space="preserve">1</t>
        </is>
      </c>
      <c r="E40" s="13">
        <v>10</v>
      </c>
      <c r="F40" s="13" t="inlineStr">
        <is>
          <t xml:space="preserve">Own 41 to Mid</t>
        </is>
      </c>
      <c r="G40" s="13"/>
      <c r="H40" s="13" t="inlineStr">
        <is>
          <t xml:space="preserve">12</t>
        </is>
      </c>
      <c r="I40" s="13" t="inlineStr">
        <is>
          <t xml:space="preserve">2x2 'D'</t>
        </is>
      </c>
      <c r="J40" s="13"/>
      <c r="K40" s="13"/>
      <c r="L40" s="13"/>
      <c r="M40" s="13"/>
      <c r="N40" s="13" t="inlineStr">
        <is>
          <t xml:space="preserve">Under Center</t>
        </is>
      </c>
      <c r="O40" s="13" t="inlineStr">
        <is>
          <t xml:space="preserve">Run</t>
        </is>
      </c>
      <c r="P40" s="13"/>
      <c r="Q40" s="13"/>
      <c r="R40" s="13"/>
      <c r="S40" s="13"/>
      <c r="T40" s="13"/>
      <c r="U40" s="13"/>
      <c r="V40" s="13" t="inlineStr">
        <is>
          <t xml:space="preserve">S.Barkley</t>
        </is>
      </c>
      <c r="W40" s="13" t="inlineStr">
        <is>
          <t xml:space="preserve">Run - Gain</t>
        </is>
      </c>
      <c r="X40" s="13">
        <v>3</v>
      </c>
      <c r="Y40" s="13"/>
      <c r="Z40" s="13"/>
      <c r="AA40" s="13"/>
      <c r="AB40" s="13"/>
      <c r="AC40" s="13"/>
      <c r="AD40" s="13"/>
      <c r="AE40" s="13" t="inlineStr">
        <is>
          <t xml:space="preserve">PHI 44. S.Barkley right tackle to PHI 47 for 3 yards. | Hash and Str unknown: neither TE number readable, single angle.</t>
        </is>
      </c>
    </row>
    <row r="41" spans="1:31" ht="15" customHeight="1">
      <c r="A41" s="11" t="str">
        <f>IF(B41="","","W"&amp;B41&amp;"-"&amp;TEXT(COUNTIF($B$5:B41,B41),"000"))</f>
        <v>W1-037</v>
      </c>
      <c r="B41" s="13">
        <v>1</v>
      </c>
      <c r="C41" s="13">
        <v>3</v>
      </c>
      <c r="D41" s="13" t="inlineStr">
        <is>
          <t xml:space="preserve">2</t>
        </is>
      </c>
      <c r="E41" s="13">
        <v>7</v>
      </c>
      <c r="F41" s="13" t="inlineStr">
        <is>
          <t xml:space="preserve">Own 41 to Mid</t>
        </is>
      </c>
      <c r="G41" s="13" t="inlineStr">
        <is>
          <t xml:space="preserve">Right</t>
        </is>
      </c>
      <c r="H41" s="13" t="inlineStr">
        <is>
          <t xml:space="preserve">12</t>
        </is>
      </c>
      <c r="I41" s="13" t="inlineStr">
        <is>
          <t xml:space="preserve">3x1 'T'</t>
        </is>
      </c>
      <c r="J41" s="13"/>
      <c r="K41" s="13" t="inlineStr">
        <is>
          <t xml:space="preserve">Lt</t>
        </is>
      </c>
      <c r="L41" s="13"/>
      <c r="M41" s="13"/>
      <c r="N41" s="13" t="inlineStr">
        <is>
          <t xml:space="preserve">Under Center</t>
        </is>
      </c>
      <c r="O41" s="13" t="inlineStr">
        <is>
          <t xml:space="preserve">Run</t>
        </is>
      </c>
      <c r="P41" s="13"/>
      <c r="Q41" s="13"/>
      <c r="R41" s="13"/>
      <c r="S41" s="13"/>
      <c r="T41" s="13"/>
      <c r="U41" s="13"/>
      <c r="V41" s="13" t="inlineStr">
        <is>
          <t xml:space="preserve">S.Barkley</t>
        </is>
      </c>
      <c r="W41" s="13" t="inlineStr">
        <is>
          <t xml:space="preserve">Run - Loss</t>
        </is>
      </c>
      <c r="X41" s="13">
        <v>-3</v>
      </c>
      <c r="Y41" s="13"/>
      <c r="Z41" s="13"/>
      <c r="AA41" s="13"/>
      <c r="AB41" s="13"/>
      <c r="AC41" s="13"/>
      <c r="AD41" s="13"/>
      <c r="AE41" s="13" t="inlineStr">
        <is>
          <t xml:space="preserve">PHI 47. S.Barkley right guard to PHI 44 for -3 yards (S.Styles).</t>
        </is>
      </c>
    </row>
    <row r="42" spans="1:31" ht="15" customHeight="1">
      <c r="A42" s="11" t="str">
        <f>IF(B42="","","W"&amp;B42&amp;"-"&amp;TEXT(COUNTIF($B$5:B42,B42),"000"))</f>
        <v>W1-038</v>
      </c>
      <c r="B42" s="13">
        <v>1</v>
      </c>
      <c r="C42" s="13">
        <v>3</v>
      </c>
      <c r="D42" s="13" t="inlineStr">
        <is>
          <t xml:space="preserve">3</t>
        </is>
      </c>
      <c r="E42" s="13">
        <v>10</v>
      </c>
      <c r="F42" s="13" t="inlineStr">
        <is>
          <t xml:space="preserve">Own 41 to Mid</t>
        </is>
      </c>
      <c r="G42" s="13"/>
      <c r="H42" s="13" t="inlineStr">
        <is>
          <t xml:space="preserve">11</t>
        </is>
      </c>
      <c r="I42" s="13" t="inlineStr">
        <is>
          <t xml:space="preserve">3x1 'T'</t>
        </is>
      </c>
      <c r="J42" s="13"/>
      <c r="K42" s="13" t="inlineStr">
        <is>
          <t xml:space="preserve">Lt</t>
        </is>
      </c>
      <c r="L42" s="13"/>
      <c r="M42" s="13"/>
      <c r="N42" s="13" t="inlineStr">
        <is>
          <t xml:space="preserve">Gun</t>
        </is>
      </c>
      <c r="O42" s="13"/>
      <c r="P42" s="13"/>
      <c r="Q42" s="13"/>
      <c r="R42" s="13"/>
      <c r="S42" s="13"/>
      <c r="T42" s="13"/>
      <c r="U42" s="13"/>
      <c r="V42" s="13"/>
      <c r="W42" s="13" t="inlineStr">
        <is>
          <t xml:space="preserve">Sack</t>
        </is>
      </c>
      <c r="X42" s="13">
        <v>-6</v>
      </c>
      <c r="Y42" s="13"/>
      <c r="Z42" s="13"/>
      <c r="AA42" s="13"/>
      <c r="AB42" s="13"/>
      <c r="AC42" s="13"/>
      <c r="AD42" s="13"/>
      <c r="AE42" s="13" t="inlineStr">
        <is>
          <t xml:space="preserve">PHI 44. (Shotgun) J.Hurts sacked at PHI 38 for -6 yards (O.Oweh). | Hash unknown on video; W1-037 run right tackle predicts Right. Sideline only.</t>
        </is>
      </c>
    </row>
    <row r="43" spans="1:31" ht="15" customHeight="1">
      <c r="A43" s="11" t="str">
        <f>IF(B43="","","W"&amp;B43&amp;"-"&amp;TEXT(COUNTIF($B$5:B43,B43),"000"))</f>
        <v>W1-039</v>
      </c>
      <c r="B43" s="13">
        <v>1</v>
      </c>
      <c r="C43" s="13">
        <v>3</v>
      </c>
      <c r="D43" s="13" t="inlineStr">
        <is>
          <t xml:space="preserve">1</t>
        </is>
      </c>
      <c r="E43" s="13">
        <v>10</v>
      </c>
      <c r="F43" s="13" t="inlineStr">
        <is>
          <t xml:space="preserve">Own 21-40</t>
        </is>
      </c>
      <c r="G43" s="13" t="inlineStr">
        <is>
          <t xml:space="preserve">Left</t>
        </is>
      </c>
      <c r="H43" s="13" t="inlineStr">
        <is>
          <t xml:space="preserve">12</t>
        </is>
      </c>
      <c r="I43" s="13" t="inlineStr">
        <is>
          <t xml:space="preserve">3x1 'T'</t>
        </is>
      </c>
      <c r="J43" s="13"/>
      <c r="K43" s="13" t="inlineStr">
        <is>
          <t xml:space="preserve">Rt</t>
        </is>
      </c>
      <c r="L43" s="13"/>
      <c r="M43" s="13"/>
      <c r="N43" s="13" t="inlineStr">
        <is>
          <t xml:space="preserve">Under Center</t>
        </is>
      </c>
      <c r="O43" s="13"/>
      <c r="P43" s="13"/>
      <c r="Q43" s="13"/>
      <c r="R43" s="13"/>
      <c r="S43" s="13"/>
      <c r="T43" s="13"/>
      <c r="U43" s="13"/>
      <c r="V43" s="13" t="inlineStr">
        <is>
          <t xml:space="preserve">S.Barkley</t>
        </is>
      </c>
      <c r="W43" s="13" t="inlineStr">
        <is>
          <t xml:space="preserve">Penalty</t>
        </is>
      </c>
      <c r="X43" s="13"/>
      <c r="Y43" s="13"/>
      <c r="Z43" s="13"/>
      <c r="AA43" s="13"/>
      <c r="AB43" s="13"/>
      <c r="AC43" s="13"/>
      <c r="AD43" s="13"/>
      <c r="AE43" s="13" t="inlineStr">
        <is>
          <t xml:space="preserve">PHI 40. J.Hurts pass short left to S.Barkley for 5, no play: holding on L.Dickerson. | Sideline only.</t>
        </is>
      </c>
    </row>
    <row r="44" spans="1:31" ht="15" customHeight="1">
      <c r="A44" s="11" t="str">
        <f>IF(B44="","","W"&amp;B44&amp;"-"&amp;TEXT(COUNTIF($B$5:B44,B44),"000"))</f>
        <v>W1-040</v>
      </c>
      <c r="B44" s="13">
        <v>1</v>
      </c>
      <c r="C44" s="13">
        <v>3</v>
      </c>
      <c r="D44" s="13" t="inlineStr">
        <is>
          <t xml:space="preserve">1</t>
        </is>
      </c>
      <c r="E44" s="13">
        <v>20</v>
      </c>
      <c r="F44" s="13" t="inlineStr">
        <is>
          <t xml:space="preserve">Own 21-40</t>
        </is>
      </c>
      <c r="G44" s="13" t="inlineStr">
        <is>
          <t xml:space="preserve">Left</t>
        </is>
      </c>
      <c r="H44" s="13" t="inlineStr">
        <is>
          <t xml:space="preserve">11</t>
        </is>
      </c>
      <c r="I44" s="13" t="inlineStr">
        <is>
          <t xml:space="preserve">3x1 'T'</t>
        </is>
      </c>
      <c r="J44" s="13"/>
      <c r="K44" s="13" t="inlineStr">
        <is>
          <t xml:space="preserve">Lt</t>
        </is>
      </c>
      <c r="L44" s="13"/>
      <c r="M44" s="13"/>
      <c r="N44" s="13" t="inlineStr">
        <is>
          <t xml:space="preserve">Gun</t>
        </is>
      </c>
      <c r="O44" s="13" t="inlineStr">
        <is>
          <t xml:space="preserve">Scramble</t>
        </is>
      </c>
      <c r="P44" s="13"/>
      <c r="Q44" s="13"/>
      <c r="R44" s="13"/>
      <c r="S44" s="13"/>
      <c r="T44" s="13"/>
      <c r="U44" s="13"/>
      <c r="V44" s="13" t="inlineStr">
        <is>
          <t xml:space="preserve">J.Hurts</t>
        </is>
      </c>
      <c r="W44" s="13" t="inlineStr">
        <is>
          <t xml:space="preserve">Scramble</t>
        </is>
      </c>
      <c r="X44" s="13">
        <v>14</v>
      </c>
      <c r="Y44" s="13"/>
      <c r="Z44" s="13"/>
      <c r="AA44" s="13"/>
      <c r="AB44" s="13"/>
      <c r="AC44" s="13"/>
      <c r="AD44" s="13"/>
      <c r="AE44" s="13" t="inlineStr">
        <is>
          <t xml:space="preserve">PHI 30. (Shotgun) J.Hurts scrambles right tackle to PHI 44 for 14 yards. | Sideline only.</t>
        </is>
      </c>
    </row>
    <row r="45" spans="1:31" ht="15" customHeight="1">
      <c r="A45" s="11" t="str">
        <f>IF(B45="","","W"&amp;B45&amp;"-"&amp;TEXT(COUNTIF($B$5:B45,B45),"000"))</f>
        <v>W1-041</v>
      </c>
      <c r="B45" s="13">
        <v>1</v>
      </c>
      <c r="C45" s="13">
        <v>3</v>
      </c>
      <c r="D45" s="13" t="inlineStr">
        <is>
          <t xml:space="preserve">2</t>
        </is>
      </c>
      <c r="E45" s="13">
        <v>6</v>
      </c>
      <c r="F45" s="13" t="inlineStr">
        <is>
          <t xml:space="preserve">Own 41 to Mid</t>
        </is>
      </c>
      <c r="G45" s="13" t="inlineStr">
        <is>
          <t xml:space="preserve">Right</t>
        </is>
      </c>
      <c r="H45" s="13" t="inlineStr">
        <is>
          <t xml:space="preserve">11</t>
        </is>
      </c>
      <c r="I45" s="13" t="inlineStr">
        <is>
          <t xml:space="preserve">3x1 'T'</t>
        </is>
      </c>
      <c r="J45" s="13"/>
      <c r="K45" s="13" t="inlineStr">
        <is>
          <t xml:space="preserve">Lt</t>
        </is>
      </c>
      <c r="L45" s="13"/>
      <c r="M45" s="13"/>
      <c r="N45" s="13" t="inlineStr">
        <is>
          <t xml:space="preserve">Gun</t>
        </is>
      </c>
      <c r="O45" s="13" t="inlineStr">
        <is>
          <t xml:space="preserve">Scramble</t>
        </is>
      </c>
      <c r="P45" s="13"/>
      <c r="Q45" s="13"/>
      <c r="R45" s="13"/>
      <c r="S45" s="13"/>
      <c r="T45" s="13"/>
      <c r="U45" s="13"/>
      <c r="V45" s="13" t="inlineStr">
        <is>
          <t xml:space="preserve">J.Hurts</t>
        </is>
      </c>
      <c r="W45" s="13" t="inlineStr">
        <is>
          <t xml:space="preserve">Scramble</t>
        </is>
      </c>
      <c r="X45" s="13">
        <v>1</v>
      </c>
      <c r="Y45" s="13"/>
      <c r="Z45" s="13"/>
      <c r="AA45" s="13"/>
      <c r="AB45" s="13"/>
      <c r="AC45" s="13"/>
      <c r="AD45" s="13"/>
      <c r="AE45" s="13" t="inlineStr">
        <is>
          <t xml:space="preserve">PHI 44. (No Huddle, Shotgun) J.Hurts scrambles right end to PHI 45 for 1 yard. | Sideline only.</t>
        </is>
      </c>
    </row>
    <row r="46" spans="1:31" ht="15" customHeight="1">
      <c r="A46" s="11" t="str">
        <f>IF(B46="","","W"&amp;B46&amp;"-"&amp;TEXT(COUNTIF($B$5:B46,B46),"000"))</f>
        <v>W1-042</v>
      </c>
      <c r="B46" s="13">
        <v>1</v>
      </c>
      <c r="C46" s="13">
        <v>3</v>
      </c>
      <c r="D46" s="13" t="inlineStr">
        <is>
          <t xml:space="preserve">3</t>
        </is>
      </c>
      <c r="E46" s="13">
        <v>5</v>
      </c>
      <c r="F46" s="13" t="inlineStr">
        <is>
          <t xml:space="preserve">Own 41 to Mid</t>
        </is>
      </c>
      <c r="G46" s="13" t="inlineStr">
        <is>
          <t xml:space="preserve">Right</t>
        </is>
      </c>
      <c r="H46" s="13" t="inlineStr">
        <is>
          <t xml:space="preserve">11</t>
        </is>
      </c>
      <c r="I46" s="13" t="inlineStr">
        <is>
          <t xml:space="preserve">3x1 'T'</t>
        </is>
      </c>
      <c r="J46" s="13"/>
      <c r="K46" s="13" t="inlineStr">
        <is>
          <t xml:space="preserve">Lt</t>
        </is>
      </c>
      <c r="L46" s="13"/>
      <c r="M46" s="13"/>
      <c r="N46" s="13" t="inlineStr">
        <is>
          <t xml:space="preserve">Gun</t>
        </is>
      </c>
      <c r="O46" s="13"/>
      <c r="P46" s="13"/>
      <c r="Q46" s="13"/>
      <c r="R46" s="13"/>
      <c r="S46" s="13"/>
      <c r="T46" s="13"/>
      <c r="U46" s="13"/>
      <c r="V46" s="13" t="inlineStr">
        <is>
          <t xml:space="preserve">D.Smith</t>
        </is>
      </c>
      <c r="W46" s="13" t="inlineStr">
        <is>
          <t xml:space="preserve">Complete</t>
        </is>
      </c>
      <c r="X46" s="13">
        <v>31</v>
      </c>
      <c r="Y46" s="13"/>
      <c r="Z46" s="13"/>
      <c r="AA46" s="13"/>
      <c r="AB46" s="13"/>
      <c r="AC46" s="13"/>
      <c r="AD46" s="13"/>
      <c r="AE46" s="13" t="inlineStr">
        <is>
          <t xml:space="preserve">PHI 45. (Shotgun) J.Hurts pass deep right to D.Smith, pushed ob at WAS 24 for 31 yards. | Sideline only.</t>
        </is>
      </c>
    </row>
    <row r="47" spans="1:31" ht="15" customHeight="1">
      <c r="A47" s="11" t="str">
        <f>IF(B47="","","W"&amp;B47&amp;"-"&amp;TEXT(COUNTIF($B$5:B47,B47),"000"))</f>
        <v>W1-043</v>
      </c>
      <c r="B47" s="13">
        <v>1</v>
      </c>
      <c r="C47" s="13">
        <v>3</v>
      </c>
      <c r="D47" s="13" t="inlineStr">
        <is>
          <t xml:space="preserve">1</t>
        </is>
      </c>
      <c r="E47" s="13">
        <v>10</v>
      </c>
      <c r="F47" s="13" t="inlineStr">
        <is>
          <t xml:space="preserve">Opp 40-21</t>
        </is>
      </c>
      <c r="G47" s="13" t="inlineStr">
        <is>
          <t xml:space="preserve">Right</t>
        </is>
      </c>
      <c r="H47" s="13" t="inlineStr">
        <is>
          <t xml:space="preserve">11</t>
        </is>
      </c>
      <c r="I47" s="13" t="inlineStr">
        <is>
          <t xml:space="preserve">2x2 'D'</t>
        </is>
      </c>
      <c r="J47" s="13"/>
      <c r="K47" s="13" t="inlineStr">
        <is>
          <t xml:space="preserve">Rt</t>
        </is>
      </c>
      <c r="L47" s="13"/>
      <c r="M47" s="13"/>
      <c r="N47" s="13" t="inlineStr">
        <is>
          <t xml:space="preserve">Under Center</t>
        </is>
      </c>
      <c r="O47" s="13"/>
      <c r="P47" s="13"/>
      <c r="Q47" s="13"/>
      <c r="R47" s="13"/>
      <c r="S47" s="13"/>
      <c r="T47" s="13"/>
      <c r="U47" s="13"/>
      <c r="V47" s="13"/>
      <c r="W47" s="13" t="inlineStr">
        <is>
          <t xml:space="preserve">Incomplete</t>
        </is>
      </c>
      <c r="X47" s="13">
        <v>0</v>
      </c>
      <c r="Y47" s="13"/>
      <c r="Z47" s="13"/>
      <c r="AA47" s="13"/>
      <c r="AB47" s="13"/>
      <c r="AC47" s="13"/>
      <c r="AD47" s="13"/>
      <c r="AE47" s="13" t="inlineStr">
        <is>
          <t xml:space="preserve">WAS 24. (No Huddle, ) J.Hurts pass incomplete short right (K.Chaisson), no target listed.</t>
        </is>
      </c>
    </row>
    <row r="48" spans="1:31" ht="15" customHeight="1">
      <c r="A48" s="11" t="str">
        <f>IF(B48="","","W"&amp;B48&amp;"-"&amp;TEXT(COUNTIF($B$5:B48,B48),"000"))</f>
        <v>W1-044</v>
      </c>
      <c r="B48" s="13">
        <v>1</v>
      </c>
      <c r="C48" s="13">
        <v>3</v>
      </c>
      <c r="D48" s="13" t="inlineStr">
        <is>
          <t xml:space="preserve">2</t>
        </is>
      </c>
      <c r="E48" s="13">
        <v>10</v>
      </c>
      <c r="F48" s="13" t="inlineStr">
        <is>
          <t xml:space="preserve">Opp 40-21</t>
        </is>
      </c>
      <c r="G48" s="13" t="inlineStr">
        <is>
          <t xml:space="preserve">Right</t>
        </is>
      </c>
      <c r="H48" s="13" t="inlineStr">
        <is>
          <t xml:space="preserve">12</t>
        </is>
      </c>
      <c r="I48" s="13" t="inlineStr">
        <is>
          <t xml:space="preserve">2x2 'D'</t>
        </is>
      </c>
      <c r="J48" s="13"/>
      <c r="K48" s="13"/>
      <c r="L48" s="13"/>
      <c r="M48" s="13"/>
      <c r="N48" s="13" t="inlineStr">
        <is>
          <t xml:space="preserve">Under Center</t>
        </is>
      </c>
      <c r="O48" s="13" t="inlineStr">
        <is>
          <t xml:space="preserve">Run</t>
        </is>
      </c>
      <c r="P48" s="13"/>
      <c r="Q48" s="13"/>
      <c r="R48" s="13"/>
      <c r="S48" s="13"/>
      <c r="T48" s="13"/>
      <c r="U48" s="13"/>
      <c r="V48" s="13" t="inlineStr">
        <is>
          <t xml:space="preserve">S.Barkley</t>
        </is>
      </c>
      <c r="W48" s="13" t="inlineStr">
        <is>
          <t xml:space="preserve">Run - Gain</t>
        </is>
      </c>
      <c r="X48" s="13">
        <v>7</v>
      </c>
      <c r="Y48" s="13"/>
      <c r="Z48" s="13"/>
      <c r="AA48" s="13"/>
      <c r="AB48" s="13"/>
      <c r="AC48" s="13"/>
      <c r="AD48" s="13"/>
      <c r="AE48" s="13" t="inlineStr">
        <is>
          <t xml:space="preserve">WAS 24. S.Barkley right tackle to WAS 17 for 7 yards. | Str unknown: Y not readable.</t>
        </is>
      </c>
    </row>
    <row r="49" spans="1:31" ht="15" customHeight="1">
      <c r="A49" s="11" t="str">
        <f>IF(B49="","","W"&amp;B49&amp;"-"&amp;TEXT(COUNTIF($B$5:B49,B49),"000"))</f>
        <v>W1-045</v>
      </c>
      <c r="B49" s="13">
        <v>1</v>
      </c>
      <c r="C49" s="13">
        <v>3</v>
      </c>
      <c r="D49" s="13" t="inlineStr">
        <is>
          <t xml:space="preserve">3</t>
        </is>
      </c>
      <c r="E49" s="13">
        <v>3</v>
      </c>
      <c r="F49" s="13" t="inlineStr">
        <is>
          <t xml:space="preserve">Opp 20-11 (Red)</t>
        </is>
      </c>
      <c r="G49" s="13" t="inlineStr">
        <is>
          <t xml:space="preserve">Right</t>
        </is>
      </c>
      <c r="H49" s="13" t="inlineStr">
        <is>
          <t xml:space="preserve">11</t>
        </is>
      </c>
      <c r="I49" s="13" t="inlineStr">
        <is>
          <t xml:space="preserve">3x1 'T'</t>
        </is>
      </c>
      <c r="J49" s="13"/>
      <c r="K49" s="13" t="inlineStr">
        <is>
          <t xml:space="preserve">Lt</t>
        </is>
      </c>
      <c r="L49" s="13"/>
      <c r="M49" s="13"/>
      <c r="N49" s="13" t="inlineStr">
        <is>
          <t xml:space="preserve">Gun</t>
        </is>
      </c>
      <c r="O49" s="13"/>
      <c r="P49" s="13"/>
      <c r="Q49" s="13"/>
      <c r="R49" s="13"/>
      <c r="S49" s="13"/>
      <c r="T49" s="13"/>
      <c r="U49" s="13"/>
      <c r="V49" s="13" t="inlineStr">
        <is>
          <t xml:space="preserve">D.Goedert</t>
        </is>
      </c>
      <c r="W49" s="13" t="inlineStr">
        <is>
          <t xml:space="preserve">Incomplete</t>
        </is>
      </c>
      <c r="X49" s="13">
        <v>0</v>
      </c>
      <c r="Y49" s="13"/>
      <c r="Z49" s="13"/>
      <c r="AA49" s="13"/>
      <c r="AB49" s="13"/>
      <c r="AC49" s="13"/>
      <c r="AD49" s="13"/>
      <c r="AE49" s="13" t="inlineStr">
        <is>
          <t xml:space="preserve">WAS 17. (Shotgun) J.Hurts pass incomplete short left to D.Goedert. FG followed.</t>
        </is>
      </c>
    </row>
    <row r="50" spans="1:31" ht="15" customHeight="1">
      <c r="A50" s="11" t="str">
        <f>IF(B50="","","W"&amp;B50&amp;"-"&amp;TEXT(COUNTIF($B$5:B50,B50),"000"))</f>
        <v>W1-046</v>
      </c>
      <c r="B50" s="13">
        <v>1</v>
      </c>
      <c r="C50" s="13">
        <v>4</v>
      </c>
      <c r="D50" s="13" t="inlineStr">
        <is>
          <t xml:space="preserve">1</t>
        </is>
      </c>
      <c r="E50" s="13">
        <v>10</v>
      </c>
      <c r="F50" s="13" t="inlineStr">
        <is>
          <t xml:space="preserve">Own 21-40</t>
        </is>
      </c>
      <c r="G50" s="13" t="inlineStr">
        <is>
          <t xml:space="preserve">Right</t>
        </is>
      </c>
      <c r="H50" s="13" t="inlineStr">
        <is>
          <t xml:space="preserve">11</t>
        </is>
      </c>
      <c r="I50" s="13" t="inlineStr">
        <is>
          <t xml:space="preserve">3x1 'T'</t>
        </is>
      </c>
      <c r="J50" s="13"/>
      <c r="K50" s="13" t="inlineStr">
        <is>
          <t xml:space="preserve">Lt</t>
        </is>
      </c>
      <c r="L50" s="13"/>
      <c r="M50" s="13"/>
      <c r="N50" s="13" t="inlineStr">
        <is>
          <t xml:space="preserve">Gun</t>
        </is>
      </c>
      <c r="O50" s="13" t="inlineStr">
        <is>
          <t xml:space="preserve">Run</t>
        </is>
      </c>
      <c r="P50" s="13"/>
      <c r="Q50" s="13"/>
      <c r="R50" s="13"/>
      <c r="S50" s="13"/>
      <c r="T50" s="13"/>
      <c r="U50" s="13"/>
      <c r="V50" s="13" t="inlineStr">
        <is>
          <t xml:space="preserve">S.Barkley</t>
        </is>
      </c>
      <c r="W50" s="13" t="inlineStr">
        <is>
          <t xml:space="preserve">Run - Gain</t>
        </is>
      </c>
      <c r="X50" s="13">
        <v>6</v>
      </c>
      <c r="Y50" s="13"/>
      <c r="Z50" s="13"/>
      <c r="AA50" s="13"/>
      <c r="AB50" s="13"/>
      <c r="AC50" s="13"/>
      <c r="AD50" s="13"/>
      <c r="AE50" s="13" t="inlineStr">
        <is>
          <t xml:space="preserve">PHI 26. (Shotgun) S.Barkley right tackle to PHI 32 for 6 yards.</t>
        </is>
      </c>
    </row>
    <row r="51" spans="1:31" ht="15" customHeight="1">
      <c r="A51" s="11" t="str">
        <f>IF(B51="","","W"&amp;B51&amp;"-"&amp;TEXT(COUNTIF($B$5:B51,B51),"000"))</f>
        <v>W1-047</v>
      </c>
      <c r="B51" s="13">
        <v>1</v>
      </c>
      <c r="C51" s="13">
        <v>4</v>
      </c>
      <c r="D51" s="13" t="inlineStr">
        <is>
          <t xml:space="preserve">2</t>
        </is>
      </c>
      <c r="E51" s="13">
        <v>4</v>
      </c>
      <c r="F51" s="13" t="inlineStr">
        <is>
          <t xml:space="preserve">Own 21-40</t>
        </is>
      </c>
      <c r="G51" s="13" t="inlineStr">
        <is>
          <t xml:space="preserve">Right</t>
        </is>
      </c>
      <c r="H51" s="13" t="inlineStr">
        <is>
          <t xml:space="preserve">11</t>
        </is>
      </c>
      <c r="I51" s="13" t="inlineStr">
        <is>
          <t xml:space="preserve">2x2 'D'</t>
        </is>
      </c>
      <c r="J51" s="13"/>
      <c r="K51" s="13" t="inlineStr">
        <is>
          <t xml:space="preserve">Rt</t>
        </is>
      </c>
      <c r="L51" s="13"/>
      <c r="M51" s="13"/>
      <c r="N51" s="13" t="inlineStr">
        <is>
          <t xml:space="preserve">Gun</t>
        </is>
      </c>
      <c r="O51" s="13" t="inlineStr">
        <is>
          <t xml:space="preserve">Run</t>
        </is>
      </c>
      <c r="P51" s="13"/>
      <c r="Q51" s="13"/>
      <c r="R51" s="13"/>
      <c r="S51" s="13"/>
      <c r="T51" s="13"/>
      <c r="U51" s="13"/>
      <c r="V51" s="13" t="inlineStr">
        <is>
          <t xml:space="preserve">S.Barkley</t>
        </is>
      </c>
      <c r="W51" s="13" t="inlineStr">
        <is>
          <t xml:space="preserve">Run - Gain</t>
        </is>
      </c>
      <c r="X51" s="13">
        <v>7</v>
      </c>
      <c r="Y51" s="13"/>
      <c r="Z51" s="13"/>
      <c r="AA51" s="13"/>
      <c r="AB51" s="13"/>
      <c r="AC51" s="13"/>
      <c r="AD51" s="13"/>
      <c r="AE51" s="13" t="inlineStr">
        <is>
          <t xml:space="preserve">PHI 32. (Shotgun) S.Barkley right guard to PHI 39 for 7 yards.</t>
        </is>
      </c>
    </row>
    <row r="52" spans="1:31" ht="15" customHeight="1">
      <c r="A52" s="11" t="str">
        <f>IF(B52="","","W"&amp;B52&amp;"-"&amp;TEXT(COUNTIF($B$5:B52,B52),"000"))</f>
        <v>W1-048</v>
      </c>
      <c r="B52" s="13">
        <v>1</v>
      </c>
      <c r="C52" s="13">
        <v>4</v>
      </c>
      <c r="D52" s="13" t="inlineStr">
        <is>
          <t xml:space="preserve">1</t>
        </is>
      </c>
      <c r="E52" s="13">
        <v>10</v>
      </c>
      <c r="F52" s="13" t="inlineStr">
        <is>
          <t xml:space="preserve">Own 21-40</t>
        </is>
      </c>
      <c r="G52" s="13" t="inlineStr">
        <is>
          <t xml:space="preserve">Right</t>
        </is>
      </c>
      <c r="H52" s="13" t="inlineStr">
        <is>
          <t xml:space="preserve">11</t>
        </is>
      </c>
      <c r="I52" s="13" t="inlineStr">
        <is>
          <t xml:space="preserve">Empty</t>
        </is>
      </c>
      <c r="J52" s="13"/>
      <c r="K52" s="13" t="inlineStr">
        <is>
          <t xml:space="preserve">Lt</t>
        </is>
      </c>
      <c r="L52" s="13"/>
      <c r="M52" s="13"/>
      <c r="N52" s="13" t="inlineStr">
        <is>
          <t xml:space="preserve">Gun</t>
        </is>
      </c>
      <c r="O52" s="13"/>
      <c r="P52" s="13"/>
      <c r="Q52" s="13"/>
      <c r="R52" s="13"/>
      <c r="S52" s="13"/>
      <c r="T52" s="13"/>
      <c r="U52" s="13"/>
      <c r="V52" s="13" t="inlineStr">
        <is>
          <t xml:space="preserve">S.Barkley</t>
        </is>
      </c>
      <c r="W52" s="13" t="inlineStr">
        <is>
          <t xml:space="preserve">Complete</t>
        </is>
      </c>
      <c r="X52" s="13">
        <v>-3</v>
      </c>
      <c r="Y52" s="13"/>
      <c r="Z52" s="13"/>
      <c r="AA52" s="13"/>
      <c r="AB52" s="13"/>
      <c r="AC52" s="13"/>
      <c r="AD52" s="13"/>
      <c r="AE52" s="13" t="inlineStr">
        <is>
          <t xml:space="preserve">PHI 39. (No Huddle, Shotgun) J.Hurts pass short left to S.Barkley to PHI 36 for -3 yards. | 3 receivers bunched tight L, 2 R; Barkley split out.</t>
        </is>
      </c>
    </row>
    <row r="53" spans="1:31" ht="15" customHeight="1">
      <c r="A53" s="11" t="str">
        <f>IF(B53="","","W"&amp;B53&amp;"-"&amp;TEXT(COUNTIF($B$5:B53,B53),"000"))</f>
        <v>W1-049</v>
      </c>
      <c r="B53" s="13">
        <v>1</v>
      </c>
      <c r="C53" s="13">
        <v>4</v>
      </c>
      <c r="D53" s="13" t="inlineStr">
        <is>
          <t xml:space="preserve">2</t>
        </is>
      </c>
      <c r="E53" s="13">
        <v>13</v>
      </c>
      <c r="F53" s="13" t="inlineStr">
        <is>
          <t xml:space="preserve">Own 21-40</t>
        </is>
      </c>
      <c r="G53" s="13" t="inlineStr">
        <is>
          <t xml:space="preserve">Left</t>
        </is>
      </c>
      <c r="H53" s="13" t="inlineStr">
        <is>
          <t xml:space="preserve">11</t>
        </is>
      </c>
      <c r="I53" s="13" t="inlineStr">
        <is>
          <t xml:space="preserve">2x2 'D'</t>
        </is>
      </c>
      <c r="J53" s="13"/>
      <c r="K53" s="13" t="inlineStr">
        <is>
          <t xml:space="preserve">Lt</t>
        </is>
      </c>
      <c r="L53" s="13"/>
      <c r="M53" s="13"/>
      <c r="N53" s="13" t="inlineStr">
        <is>
          <t xml:space="preserve">Gun</t>
        </is>
      </c>
      <c r="O53" s="13" t="inlineStr">
        <is>
          <t xml:space="preserve">Penalty / No Play</t>
        </is>
      </c>
      <c r="P53" s="13"/>
      <c r="Q53" s="13"/>
      <c r="R53" s="13"/>
      <c r="S53" s="13"/>
      <c r="T53" s="13"/>
      <c r="U53" s="13"/>
      <c r="V53" s="13"/>
      <c r="W53" s="13" t="inlineStr">
        <is>
          <t xml:space="preserve">Penalty</t>
        </is>
      </c>
      <c r="X53" s="13"/>
      <c r="Y53" s="13"/>
      <c r="Z53" s="13"/>
      <c r="AA53" s="13"/>
      <c r="AB53" s="13"/>
      <c r="AC53" s="13"/>
      <c r="AD53" s="13"/>
      <c r="AE53" s="13" t="inlineStr">
        <is>
          <t xml:space="preserve">PHI 36. (Shotgun) False start on J.Mailata, 5 yards. Pre-snap, nothing to chart. | Same clip as W1-050; charted from that set. Sideline only.</t>
        </is>
      </c>
    </row>
    <row r="54" spans="1:31" ht="15" customHeight="1">
      <c r="A54" s="11" t="str">
        <f>IF(B54="","","W"&amp;B54&amp;"-"&amp;TEXT(COUNTIF($B$5:B54,B54),"000"))</f>
        <v>W1-050</v>
      </c>
      <c r="B54" s="13">
        <v>1</v>
      </c>
      <c r="C54" s="13">
        <v>4</v>
      </c>
      <c r="D54" s="13" t="inlineStr">
        <is>
          <t xml:space="preserve">2</t>
        </is>
      </c>
      <c r="E54" s="13">
        <v>18</v>
      </c>
      <c r="F54" s="13" t="inlineStr">
        <is>
          <t xml:space="preserve">Own 21-40</t>
        </is>
      </c>
      <c r="G54" s="13" t="inlineStr">
        <is>
          <t xml:space="preserve">Left</t>
        </is>
      </c>
      <c r="H54" s="13" t="inlineStr">
        <is>
          <t xml:space="preserve">11</t>
        </is>
      </c>
      <c r="I54" s="13" t="inlineStr">
        <is>
          <t xml:space="preserve">2x2 'D'</t>
        </is>
      </c>
      <c r="J54" s="13"/>
      <c r="K54" s="13" t="inlineStr">
        <is>
          <t xml:space="preserve">Lt</t>
        </is>
      </c>
      <c r="L54" s="13"/>
      <c r="M54" s="13"/>
      <c r="N54" s="13" t="inlineStr">
        <is>
          <t xml:space="preserve">Gun</t>
        </is>
      </c>
      <c r="O54" s="13"/>
      <c r="P54" s="13"/>
      <c r="Q54" s="13"/>
      <c r="R54" s="13"/>
      <c r="S54" s="13"/>
      <c r="T54" s="13"/>
      <c r="U54" s="13"/>
      <c r="V54" s="13"/>
      <c r="W54" s="13" t="inlineStr">
        <is>
          <t xml:space="preserve">Incomplete</t>
        </is>
      </c>
      <c r="X54" s="13">
        <v>0</v>
      </c>
      <c r="Y54" s="13"/>
      <c r="Z54" s="13"/>
      <c r="AA54" s="13"/>
      <c r="AB54" s="13"/>
      <c r="AC54" s="13"/>
      <c r="AD54" s="13"/>
      <c r="AE54" s="13" t="inlineStr">
        <is>
          <t xml:space="preserve">PHI 31. (Shotgun) J.Hurts pass incomplete short right, no target listed. | Same clip as W1-049. Sideline only.</t>
        </is>
      </c>
    </row>
    <row r="55" spans="1:31" ht="15" customHeight="1">
      <c r="A55" s="11" t="str">
        <f>IF(B55="","","W"&amp;B55&amp;"-"&amp;TEXT(COUNTIF($B$5:B55,B55),"000"))</f>
        <v>W1-051</v>
      </c>
      <c r="B55" s="13">
        <v>1</v>
      </c>
      <c r="C55" s="13">
        <v>4</v>
      </c>
      <c r="D55" s="13" t="inlineStr">
        <is>
          <t xml:space="preserve">3</t>
        </is>
      </c>
      <c r="E55" s="13">
        <v>18</v>
      </c>
      <c r="F55" s="13" t="inlineStr">
        <is>
          <t xml:space="preserve">Own 21-40</t>
        </is>
      </c>
      <c r="G55" s="13" t="inlineStr">
        <is>
          <t xml:space="preserve">Left</t>
        </is>
      </c>
      <c r="H55" s="13" t="inlineStr">
        <is>
          <t xml:space="preserve">11</t>
        </is>
      </c>
      <c r="I55" s="13" t="inlineStr">
        <is>
          <t xml:space="preserve">2x2 'D'</t>
        </is>
      </c>
      <c r="J55" s="13"/>
      <c r="K55" s="13" t="inlineStr">
        <is>
          <t xml:space="preserve">Rt</t>
        </is>
      </c>
      <c r="L55" s="13"/>
      <c r="M55" s="13"/>
      <c r="N55" s="13" t="inlineStr">
        <is>
          <t xml:space="preserve">Gun</t>
        </is>
      </c>
      <c r="O55" s="13" t="inlineStr">
        <is>
          <t xml:space="preserve">Scramble</t>
        </is>
      </c>
      <c r="P55" s="13"/>
      <c r="Q55" s="13"/>
      <c r="R55" s="13"/>
      <c r="S55" s="13"/>
      <c r="T55" s="13"/>
      <c r="U55" s="13"/>
      <c r="V55" s="13" t="inlineStr">
        <is>
          <t xml:space="preserve">J.Hurts</t>
        </is>
      </c>
      <c r="W55" s="13" t="inlineStr">
        <is>
          <t xml:space="preserve">Scramble</t>
        </is>
      </c>
      <c r="X55" s="13">
        <v>22</v>
      </c>
      <c r="Y55" s="13"/>
      <c r="Z55" s="13"/>
      <c r="AA55" s="13"/>
      <c r="AB55" s="13"/>
      <c r="AC55" s="13"/>
      <c r="AD55" s="13"/>
      <c r="AE55" s="13" t="inlineStr">
        <is>
          <t xml:space="preserve">PHI 31. (Shotgun) J.Hurts scrambles up the middle to WAS 47 for 22 yards.</t>
        </is>
      </c>
    </row>
    <row r="56" spans="1:31" ht="15" customHeight="1">
      <c r="A56" s="11" t="str">
        <f>IF(B56="","","W"&amp;B56&amp;"-"&amp;TEXT(COUNTIF($B$5:B56,B56),"000"))</f>
        <v>W1-052</v>
      </c>
      <c r="B56" s="13">
        <v>1</v>
      </c>
      <c r="C56" s="13">
        <v>4</v>
      </c>
      <c r="D56" s="13" t="inlineStr">
        <is>
          <t xml:space="preserve">1</t>
        </is>
      </c>
      <c r="E56" s="13">
        <v>10</v>
      </c>
      <c r="F56" s="13" t="inlineStr">
        <is>
          <t xml:space="preserve">Mid to Opp 41</t>
        </is>
      </c>
      <c r="G56" s="13" t="inlineStr">
        <is>
          <t xml:space="preserve">Right</t>
        </is>
      </c>
      <c r="H56" s="13" t="inlineStr">
        <is>
          <t xml:space="preserve">11</t>
        </is>
      </c>
      <c r="I56" s="13" t="inlineStr">
        <is>
          <t xml:space="preserve">2x2 'D'</t>
        </is>
      </c>
      <c r="J56" s="13"/>
      <c r="K56" s="13" t="inlineStr">
        <is>
          <t xml:space="preserve">Rt</t>
        </is>
      </c>
      <c r="L56" s="13"/>
      <c r="M56" s="13"/>
      <c r="N56" s="13" t="inlineStr">
        <is>
          <t xml:space="preserve">Under Center</t>
        </is>
      </c>
      <c r="O56" s="13" t="inlineStr">
        <is>
          <t xml:space="preserve">Run</t>
        </is>
      </c>
      <c r="P56" s="13"/>
      <c r="Q56" s="13"/>
      <c r="R56" s="13"/>
      <c r="S56" s="13"/>
      <c r="T56" s="13"/>
      <c r="U56" s="13"/>
      <c r="V56" s="13" t="inlineStr">
        <is>
          <t xml:space="preserve">W.Shipley</t>
        </is>
      </c>
      <c r="W56" s="13" t="inlineStr">
        <is>
          <t xml:space="preserve">Run - Gain</t>
        </is>
      </c>
      <c r="X56" s="13">
        <v>2</v>
      </c>
      <c r="Y56" s="13"/>
      <c r="Z56" s="13"/>
      <c r="AA56" s="13"/>
      <c r="AB56" s="13"/>
      <c r="AC56" s="13"/>
      <c r="AD56" s="13"/>
      <c r="AE56" s="13" t="inlineStr">
        <is>
          <t xml:space="preserve">WAS 47. (No Huddle, ) W.Shipley right tackle to WAS 45 for 2 yards.</t>
        </is>
      </c>
    </row>
    <row r="57" spans="1:31" ht="15" customHeight="1">
      <c r="A57" s="11" t="str">
        <f>IF(B57="","","W"&amp;B57&amp;"-"&amp;TEXT(COUNTIF($B$5:B57,B57),"000"))</f>
        <v>W1-053</v>
      </c>
      <c r="B57" s="13">
        <v>1</v>
      </c>
      <c r="C57" s="13">
        <v>4</v>
      </c>
      <c r="D57" s="13" t="inlineStr">
        <is>
          <t xml:space="preserve">2</t>
        </is>
      </c>
      <c r="E57" s="13">
        <v>8</v>
      </c>
      <c r="F57" s="13" t="inlineStr">
        <is>
          <t xml:space="preserve">Mid to Opp 41</t>
        </is>
      </c>
      <c r="G57" s="13" t="inlineStr">
        <is>
          <t xml:space="preserve">Right</t>
        </is>
      </c>
      <c r="H57" s="13" t="inlineStr">
        <is>
          <t xml:space="preserve">11</t>
        </is>
      </c>
      <c r="I57" s="13" t="inlineStr">
        <is>
          <t xml:space="preserve">2x2 'D'</t>
        </is>
      </c>
      <c r="J57" s="13"/>
      <c r="K57" s="13" t="inlineStr">
        <is>
          <t xml:space="preserve">Rt</t>
        </is>
      </c>
      <c r="L57" s="13"/>
      <c r="M57" s="13"/>
      <c r="N57" s="13" t="inlineStr">
        <is>
          <t xml:space="preserve">Gun</t>
        </is>
      </c>
      <c r="O57" s="13" t="inlineStr">
        <is>
          <t xml:space="preserve">Run</t>
        </is>
      </c>
      <c r="P57" s="13"/>
      <c r="Q57" s="13"/>
      <c r="R57" s="13"/>
      <c r="S57" s="13"/>
      <c r="T57" s="13"/>
      <c r="U57" s="13"/>
      <c r="V57" s="13" t="inlineStr">
        <is>
          <t xml:space="preserve">W.Shipley</t>
        </is>
      </c>
      <c r="W57" s="13" t="inlineStr">
        <is>
          <t xml:space="preserve">Run - Gain</t>
        </is>
      </c>
      <c r="X57" s="13">
        <v>2</v>
      </c>
      <c r="Y57" s="13"/>
      <c r="Z57" s="13"/>
      <c r="AA57" s="13"/>
      <c r="AB57" s="13"/>
      <c r="AC57" s="13"/>
      <c r="AD57" s="13"/>
      <c r="AE57" s="13" t="inlineStr">
        <is>
          <t xml:space="preserve">WAS 45. (No Huddle, Shotgun) W.Shipley left guard to WAS 43 for 2 yards.</t>
        </is>
      </c>
    </row>
    <row r="58" spans="1:31" ht="15" customHeight="1">
      <c r="A58" s="11" t="str">
        <f>IF(B58="","","W"&amp;B58&amp;"-"&amp;TEXT(COUNTIF($B$5:B58,B58),"000"))</f>
        <v>W1-054</v>
      </c>
      <c r="B58" s="13">
        <v>1</v>
      </c>
      <c r="C58" s="13">
        <v>4</v>
      </c>
      <c r="D58" s="13" t="inlineStr">
        <is>
          <t xml:space="preserve">3</t>
        </is>
      </c>
      <c r="E58" s="13">
        <v>6</v>
      </c>
      <c r="F58" s="13" t="inlineStr">
        <is>
          <t xml:space="preserve">Mid to Opp 41</t>
        </is>
      </c>
      <c r="G58" s="13" t="inlineStr">
        <is>
          <t xml:space="preserve">Left</t>
        </is>
      </c>
      <c r="H58" s="13" t="inlineStr">
        <is>
          <t xml:space="preserve">11</t>
        </is>
      </c>
      <c r="I58" s="13" t="inlineStr">
        <is>
          <t xml:space="preserve">2x2 'D'</t>
        </is>
      </c>
      <c r="J58" s="13"/>
      <c r="K58" s="13" t="inlineStr">
        <is>
          <t xml:space="preserve">Lt</t>
        </is>
      </c>
      <c r="L58" s="13"/>
      <c r="M58" s="13"/>
      <c r="N58" s="13" t="inlineStr">
        <is>
          <t xml:space="preserve">Gun</t>
        </is>
      </c>
      <c r="O58" s="13"/>
      <c r="P58" s="13"/>
      <c r="Q58" s="13"/>
      <c r="R58" s="13"/>
      <c r="S58" s="13"/>
      <c r="T58" s="13"/>
      <c r="U58" s="13"/>
      <c r="V58" s="13" t="inlineStr">
        <is>
          <t xml:space="preserve">D.Goedert</t>
        </is>
      </c>
      <c r="W58" s="13" t="inlineStr">
        <is>
          <t xml:space="preserve">Touchdown</t>
        </is>
      </c>
      <c r="X58" s="13">
        <v>43</v>
      </c>
      <c r="Y58" s="13"/>
      <c r="Z58" s="13"/>
      <c r="AA58" s="13"/>
      <c r="AB58" s="13"/>
      <c r="AC58" s="13"/>
      <c r="AD58" s="13"/>
      <c r="AE58" s="13" t="inlineStr">
        <is>
          <t xml:space="preserve">WAS 43. (Shotgun) J.Hurts pass short middle to D.Goedert for 43 yards, TD. | Str inferred: wing assumed Goedert, number not readable. Sideline only.</t>
        </is>
      </c>
    </row>
    <row r="59" spans="1:31" ht="15" customHeight="1">
      <c r="A59" s="11" t="str">
        <f>IF(B59="","","W"&amp;B59&amp;"-"&amp;TEXT(COUNTIF($B$5:B59,B59),"000"))</f>
        <v>W2-001</v>
      </c>
      <c r="B59" s="13">
        <v>2</v>
      </c>
      <c r="C59" s="13">
        <v>1</v>
      </c>
      <c r="D59" s="13" t="inlineStr">
        <is>
          <t xml:space="preserve">1</t>
        </is>
      </c>
      <c r="E59" s="13">
        <v>10</v>
      </c>
      <c r="F59" s="13" t="inlineStr">
        <is>
          <t xml:space="preserve">Own 21-40</t>
        </is>
      </c>
      <c r="G59" s="13" t="inlineStr">
        <is>
          <t xml:space="preserve">Right</t>
        </is>
      </c>
      <c r="H59" s="13" t="inlineStr">
        <is>
          <t xml:space="preserve">12</t>
        </is>
      </c>
      <c r="I59" s="13" t="inlineStr">
        <is>
          <t xml:space="preserve">2x2 'D'</t>
        </is>
      </c>
      <c r="J59" s="13"/>
      <c r="K59" s="13" t="inlineStr">
        <is>
          <t xml:space="preserve">Rt</t>
        </is>
      </c>
      <c r="L59" s="13"/>
      <c r="M59" s="13"/>
      <c r="N59" s="13" t="inlineStr">
        <is>
          <t xml:space="preserve">Under Center</t>
        </is>
      </c>
      <c r="O59" s="13" t="inlineStr">
        <is>
          <t xml:space="preserve">Run</t>
        </is>
      </c>
      <c r="P59" s="13"/>
      <c r="Q59" s="13"/>
      <c r="R59" s="13"/>
      <c r="S59" s="13"/>
      <c r="T59" s="13"/>
      <c r="U59" s="13"/>
      <c r="V59" s="13" t="inlineStr">
        <is>
          <t xml:space="preserve">S.Barkley</t>
        </is>
      </c>
      <c r="W59" s="13" t="inlineStr">
        <is>
          <t xml:space="preserve">Run - Loss</t>
        </is>
      </c>
      <c r="X59" s="13">
        <v>0</v>
      </c>
      <c r="Y59" s="13"/>
      <c r="Z59" s="13"/>
      <c r="AA59" s="13"/>
      <c r="AB59" s="13"/>
      <c r="AC59" s="13"/>
      <c r="AD59" s="13"/>
      <c r="AE59" s="13" t="inlineStr">
        <is>
          <t xml:space="preserve">PHI 28. S.Barkley left guard to PHI 28 for no gain (J.Simmons). PHI-S.Barkley was injured during the play. | Set: I-formation, Mundt inline L, Goedert inline R, one WR each side in a reduced split; snapped as set | Conf H/M/H, Both</t>
        </is>
      </c>
    </row>
    <row r="60" spans="1:31" ht="15" customHeight="1">
      <c r="A60" s="11" t="str">
        <f>IF(B60="","","W"&amp;B60&amp;"-"&amp;TEXT(COUNTIF($B$5:B60,B60),"000"))</f>
        <v>W2-002</v>
      </c>
      <c r="B60" s="13">
        <v>2</v>
      </c>
      <c r="C60" s="13">
        <v>1</v>
      </c>
      <c r="D60" s="13" t="inlineStr">
        <is>
          <t xml:space="preserve">2</t>
        </is>
      </c>
      <c r="E60" s="13">
        <v>10</v>
      </c>
      <c r="F60" s="13" t="inlineStr">
        <is>
          <t xml:space="preserve">Own 21-40</t>
        </is>
      </c>
      <c r="G60" s="13" t="inlineStr">
        <is>
          <t xml:space="preserve">Middle</t>
        </is>
      </c>
      <c r="H60" s="13" t="inlineStr">
        <is>
          <t xml:space="preserve">12</t>
        </is>
      </c>
      <c r="I60" s="13" t="inlineStr">
        <is>
          <t xml:space="preserve">3x1 'T'</t>
        </is>
      </c>
      <c r="J60" s="13"/>
      <c r="K60" s="13" t="inlineStr">
        <is>
          <t xml:space="preserve">Rt</t>
        </is>
      </c>
      <c r="L60" s="13"/>
      <c r="M60" s="13"/>
      <c r="N60" s="13" t="inlineStr">
        <is>
          <t xml:space="preserve">Gun</t>
        </is>
      </c>
      <c r="O60" s="13"/>
      <c r="P60" s="13"/>
      <c r="Q60" s="13"/>
      <c r="R60" s="13"/>
      <c r="S60" s="13"/>
      <c r="T60" s="13"/>
      <c r="U60" s="13"/>
      <c r="V60" s="13" t="inlineStr">
        <is>
          <t xml:space="preserve">T.Bigsby</t>
        </is>
      </c>
      <c r="W60" s="13" t="inlineStr">
        <is>
          <t xml:space="preserve">Complete</t>
        </is>
      </c>
      <c r="X60" s="13">
        <v>-2</v>
      </c>
      <c r="Y60" s="13"/>
      <c r="Z60" s="13"/>
      <c r="AA60" s="13"/>
      <c r="AB60" s="13"/>
      <c r="AC60" s="13"/>
      <c r="AD60" s="13"/>
      <c r="AE60" s="13" t="inlineStr">
        <is>
          <t xml:space="preserve">PHI 28. (Shotgun) J.Hurts pass short right to T.Bigsby to PHI 26 for -2 yards (C.Gray, M.Robinson). | Set: Gun, RB offset R; R side: TE off the ball behind the RT (wing), Goedert on the line ~2 yds outside the RT, WR on the line outside him; one WR on the numbers L. Snapped as set | Conf H/M/H, Both</t>
        </is>
      </c>
    </row>
    <row r="61" spans="1:31" ht="15" customHeight="1">
      <c r="A61" s="11" t="str">
        <f>IF(B61="","","W"&amp;B61&amp;"-"&amp;TEXT(COUNTIF($B$5:B61,B61),"000"))</f>
        <v>W2-003</v>
      </c>
      <c r="B61" s="13">
        <v>2</v>
      </c>
      <c r="C61" s="13">
        <v>1</v>
      </c>
      <c r="D61" s="13" t="inlineStr">
        <is>
          <t xml:space="preserve">3</t>
        </is>
      </c>
      <c r="E61" s="13">
        <v>12</v>
      </c>
      <c r="F61" s="13" t="inlineStr">
        <is>
          <t xml:space="preserve">Own 21-40</t>
        </is>
      </c>
      <c r="G61" s="13" t="inlineStr">
        <is>
          <t xml:space="preserve">Middle</t>
        </is>
      </c>
      <c r="H61" s="13" t="inlineStr">
        <is>
          <t xml:space="preserve">11</t>
        </is>
      </c>
      <c r="I61" s="13" t="inlineStr">
        <is>
          <t xml:space="preserve">2x2 'D'</t>
        </is>
      </c>
      <c r="J61" s="13"/>
      <c r="K61" s="13" t="inlineStr">
        <is>
          <t xml:space="preserve">Rt</t>
        </is>
      </c>
      <c r="L61" s="13"/>
      <c r="M61" s="13"/>
      <c r="N61" s="13" t="inlineStr">
        <is>
          <t xml:space="preserve">Gun</t>
        </is>
      </c>
      <c r="O61" s="13"/>
      <c r="P61" s="13"/>
      <c r="Q61" s="13"/>
      <c r="R61" s="13"/>
      <c r="S61" s="13"/>
      <c r="T61" s="13"/>
      <c r="U61" s="13"/>
      <c r="V61" s="13" t="inlineStr">
        <is>
          <t xml:space="preserve">D.Wicks</t>
        </is>
      </c>
      <c r="W61" s="13" t="inlineStr">
        <is>
          <t xml:space="preserve">Complete</t>
        </is>
      </c>
      <c r="X61" s="13">
        <v>27</v>
      </c>
      <c r="Y61" s="13"/>
      <c r="Z61" s="13"/>
      <c r="AA61" s="13"/>
      <c r="AB61" s="13"/>
      <c r="AC61" s="13"/>
      <c r="AD61" s="13"/>
      <c r="AE61" s="13" t="inlineStr">
        <is>
          <t xml:space="preserve">PHI 26. (Shotgun) J.Hurts pass deep middle to D.Wicks to TEN 47 for 27 yards (M.Robinson; A.Hooker). | Set: Gun, RB offset R; L: two WRs (inner on line in the slot, outer on the numbers off the ball); R: Goedert inline, WR on the numbers. Snapped as set | Conf H/M/M, SL</t>
        </is>
      </c>
    </row>
    <row r="62" spans="1:31" ht="15" customHeight="1">
      <c r="A62" s="11" t="str">
        <f>IF(B62="","","W"&amp;B62&amp;"-"&amp;TEXT(COUNTIF($B$5:B62,B62),"000"))</f>
        <v>W2-004</v>
      </c>
      <c r="B62" s="13">
        <v>2</v>
      </c>
      <c r="C62" s="13">
        <v>1</v>
      </c>
      <c r="D62" s="13" t="inlineStr">
        <is>
          <t xml:space="preserve">1</t>
        </is>
      </c>
      <c r="E62" s="13">
        <v>10</v>
      </c>
      <c r="F62" s="13" t="inlineStr">
        <is>
          <t xml:space="preserve">Mid to Opp 41</t>
        </is>
      </c>
      <c r="G62" s="13" t="inlineStr">
        <is>
          <t xml:space="preserve">Middle</t>
        </is>
      </c>
      <c r="H62" s="13" t="inlineStr">
        <is>
          <t xml:space="preserve">11</t>
        </is>
      </c>
      <c r="I62" s="13" t="inlineStr">
        <is>
          <t xml:space="preserve">2x2 'D'</t>
        </is>
      </c>
      <c r="J62" s="13"/>
      <c r="K62" s="13" t="inlineStr">
        <is>
          <t xml:space="preserve">Rt</t>
        </is>
      </c>
      <c r="L62" s="13"/>
      <c r="M62" s="13"/>
      <c r="N62" s="13" t="inlineStr">
        <is>
          <t xml:space="preserve">Under Center</t>
        </is>
      </c>
      <c r="O62" s="13"/>
      <c r="P62" s="13"/>
      <c r="Q62" s="13"/>
      <c r="R62" s="13"/>
      <c r="S62" s="13"/>
      <c r="T62" s="13"/>
      <c r="U62" s="13"/>
      <c r="V62" s="13" t="inlineStr">
        <is>
          <t xml:space="preserve">D.Goedert</t>
        </is>
      </c>
      <c r="W62" s="13" t="inlineStr">
        <is>
          <t xml:space="preserve">Incomplete</t>
        </is>
      </c>
      <c r="X62" s="13">
        <v>0</v>
      </c>
      <c r="Y62" s="13"/>
      <c r="Z62" s="13"/>
      <c r="AA62" s="13"/>
      <c r="AB62" s="13"/>
      <c r="AC62" s="13"/>
      <c r="AD62" s="13"/>
      <c r="AE62" s="13" t="inlineStr">
        <is>
          <t xml:space="preserve">TEN 47. (No Huddle) J.Hurts pass incomplete short middle to D.Goedert. | Set: Under center, Shipley deep behind QB; L: M.Brown tight off the ball, WR on the numbers; R: Goedert inline, WR in the slot. Snapped as set | Conf H/M/H, Both</t>
        </is>
      </c>
    </row>
    <row r="63" spans="1:31" ht="15" customHeight="1">
      <c r="A63" s="11" t="str">
        <f>IF(B63="","","W"&amp;B63&amp;"-"&amp;TEXT(COUNTIF($B$5:B63,B63),"000"))</f>
        <v>W2-005</v>
      </c>
      <c r="B63" s="13">
        <v>2</v>
      </c>
      <c r="C63" s="13">
        <v>1</v>
      </c>
      <c r="D63" s="13" t="inlineStr">
        <is>
          <t xml:space="preserve">2</t>
        </is>
      </c>
      <c r="E63" s="13">
        <v>10</v>
      </c>
      <c r="F63" s="13" t="inlineStr">
        <is>
          <t xml:space="preserve">Mid to Opp 41</t>
        </is>
      </c>
      <c r="G63" s="13" t="inlineStr">
        <is>
          <t xml:space="preserve">Middle</t>
        </is>
      </c>
      <c r="H63" s="13" t="inlineStr">
        <is>
          <t xml:space="preserve">11</t>
        </is>
      </c>
      <c r="I63" s="13" t="inlineStr">
        <is>
          <t xml:space="preserve">Bunch 'B'</t>
        </is>
      </c>
      <c r="J63" s="13"/>
      <c r="K63" s="13" t="inlineStr">
        <is>
          <t xml:space="preserve">Rt</t>
        </is>
      </c>
      <c r="L63" s="13"/>
      <c r="M63" s="13"/>
      <c r="N63" s="13" t="inlineStr">
        <is>
          <t xml:space="preserve">Gun</t>
        </is>
      </c>
      <c r="O63" s="13" t="inlineStr">
        <is>
          <t xml:space="preserve">Run</t>
        </is>
      </c>
      <c r="P63" s="13"/>
      <c r="Q63" s="13"/>
      <c r="R63" s="13"/>
      <c r="S63" s="13"/>
      <c r="T63" s="13"/>
      <c r="U63" s="13"/>
      <c r="V63" s="13" t="inlineStr">
        <is>
          <t xml:space="preserve">T.Bigsby</t>
        </is>
      </c>
      <c r="W63" s="13" t="inlineStr">
        <is>
          <t xml:space="preserve">Run - Gain</t>
        </is>
      </c>
      <c r="X63" s="13">
        <v>4</v>
      </c>
      <c r="Y63" s="13"/>
      <c r="Z63" s="13"/>
      <c r="AA63" s="13"/>
      <c r="AB63" s="13"/>
      <c r="AC63" s="13"/>
      <c r="AD63" s="13"/>
      <c r="AE63" s="13" t="inlineStr">
        <is>
          <t xml:space="preserve">TEN 47. (Shotgun) T.Bigsby left tackle to TEN 43 for 4 yards (J.Elliott; K.Faulk). | Set: Gun, RB offset L; Mundt inline L alone; three WRs bunched R (point man on the line, one inside and one outside off the ball). Snapped as set | Conf H/M/H, Both</t>
        </is>
      </c>
    </row>
    <row r="64" spans="1:31" ht="15" customHeight="1">
      <c r="A64" s="11" t="str">
        <f>IF(B64="","","W"&amp;B64&amp;"-"&amp;TEXT(COUNTIF($B$5:B64,B64),"000"))</f>
        <v>W2-006</v>
      </c>
      <c r="B64" s="13">
        <v>2</v>
      </c>
      <c r="C64" s="13">
        <v>1</v>
      </c>
      <c r="D64" s="13" t="inlineStr">
        <is>
          <t xml:space="preserve">3</t>
        </is>
      </c>
      <c r="E64" s="13">
        <v>6</v>
      </c>
      <c r="F64" s="13" t="inlineStr">
        <is>
          <t xml:space="preserve">Mid to Opp 41</t>
        </is>
      </c>
      <c r="G64" s="13" t="inlineStr">
        <is>
          <t xml:space="preserve">Left</t>
        </is>
      </c>
      <c r="H64" s="13" t="inlineStr">
        <is>
          <t xml:space="preserve">11</t>
        </is>
      </c>
      <c r="I64" s="13" t="inlineStr">
        <is>
          <t xml:space="preserve">2x2 'D'</t>
        </is>
      </c>
      <c r="J64" s="13"/>
      <c r="K64" s="13" t="inlineStr">
        <is>
          <t xml:space="preserve">Lt</t>
        </is>
      </c>
      <c r="L64" s="13"/>
      <c r="M64" s="13"/>
      <c r="N64" s="13" t="inlineStr">
        <is>
          <t xml:space="preserve">Gun</t>
        </is>
      </c>
      <c r="O64" s="13" t="inlineStr">
        <is>
          <t xml:space="preserve">Run</t>
        </is>
      </c>
      <c r="P64" s="13"/>
      <c r="Q64" s="13"/>
      <c r="R64" s="13"/>
      <c r="S64" s="13"/>
      <c r="T64" s="13"/>
      <c r="U64" s="13"/>
      <c r="V64" s="13" t="inlineStr">
        <is>
          <t xml:space="preserve">W.Shipley</t>
        </is>
      </c>
      <c r="W64" s="13" t="inlineStr">
        <is>
          <t xml:space="preserve">Run - Gain</t>
        </is>
      </c>
      <c r="X64" s="13">
        <v>5</v>
      </c>
      <c r="Y64" s="13"/>
      <c r="Z64" s="13"/>
      <c r="AA64" s="13"/>
      <c r="AB64" s="13"/>
      <c r="AC64" s="13"/>
      <c r="AD64" s="13"/>
      <c r="AE64" s="13" t="inlineStr">
        <is>
          <t xml:space="preserve">TEN 43. (Shotgun) W.Shipley left tackle to TEN 38 for 5 yards (J.Simmons; A.Hill). | Set: Gun, RB offset R; L: Goedert inline, Lemon detached; R: two WRs. As snapped: Lemon in motion across the backfield, tight behind the QB at the snap | Motion: M.Lemon / detached L / across backfield toward R / at snap | Conf H/M/H, Both</t>
        </is>
      </c>
    </row>
    <row r="65" spans="1:31" ht="15" customHeight="1">
      <c r="A65" s="11" t="str">
        <f>IF(B65="","","W"&amp;B65&amp;"-"&amp;TEXT(COUNTIF($B$5:B65,B65),"000"))</f>
        <v>W2-007</v>
      </c>
      <c r="B65" s="13">
        <v>2</v>
      </c>
      <c r="C65" s="13">
        <v>1</v>
      </c>
      <c r="D65" s="13" t="inlineStr">
        <is>
          <t xml:space="preserve">4</t>
        </is>
      </c>
      <c r="E65" s="13">
        <v>1</v>
      </c>
      <c r="F65" s="13" t="inlineStr">
        <is>
          <t xml:space="preserve">Opp 40-21</t>
        </is>
      </c>
      <c r="G65" s="13" t="inlineStr">
        <is>
          <t xml:space="preserve">Left</t>
        </is>
      </c>
      <c r="H65" s="13" t="inlineStr">
        <is>
          <t xml:space="preserve">22</t>
        </is>
      </c>
      <c r="I65" s="13" t="inlineStr">
        <is>
          <t xml:space="preserve">Big</t>
        </is>
      </c>
      <c r="J65" s="13"/>
      <c r="K65" s="13" t="inlineStr">
        <is>
          <t xml:space="preserve">Rt</t>
        </is>
      </c>
      <c r="L65" s="13"/>
      <c r="M65" s="13"/>
      <c r="N65" s="13" t="inlineStr">
        <is>
          <t xml:space="preserve">Under Center</t>
        </is>
      </c>
      <c r="O65" s="13" t="inlineStr">
        <is>
          <t xml:space="preserve">QB Run</t>
        </is>
      </c>
      <c r="P65" s="13"/>
      <c r="Q65" s="13"/>
      <c r="R65" s="13"/>
      <c r="S65" s="13"/>
      <c r="T65" s="13"/>
      <c r="U65" s="13"/>
      <c r="V65" s="13" t="inlineStr">
        <is>
          <t xml:space="preserve">J.Hurts</t>
        </is>
      </c>
      <c r="W65" s="13" t="inlineStr">
        <is>
          <t xml:space="preserve">Penalty</t>
        </is>
      </c>
      <c r="X65" s="13"/>
      <c r="Y65" s="13"/>
      <c r="Z65" s="13"/>
      <c r="AA65" s="13"/>
      <c r="AB65" s="13"/>
      <c r="AC65" s="13"/>
      <c r="AD65" s="13"/>
      <c r="AE65" s="13" t="inlineStr">
        <is>
          <t xml:space="preserve">TEN 38. J.Hurts up the middle to TEN 37 for 1 yard (A.Hill). PENALTY on TEN-J.Martin, Defensive Offside, 5 yards, enforced at TEN 38 - No Play. | Set: Under center, two backs tight behind the guards (Shipley L, Bigsby R); TE inline L, Mundt inline R, Wicks on the line ~2 yds outside Mundt. Snapped as set | Conf H/H/H, Both</t>
        </is>
      </c>
    </row>
    <row r="66" spans="1:31" ht="15" customHeight="1">
      <c r="A66" s="11" t="str">
        <f>IF(B66="","","W"&amp;B66&amp;"-"&amp;TEXT(COUNTIF($B$5:B66,B66),"000"))</f>
        <v>W2-008</v>
      </c>
      <c r="B66" s="13">
        <v>2</v>
      </c>
      <c r="C66" s="13">
        <v>1</v>
      </c>
      <c r="D66" s="13" t="inlineStr">
        <is>
          <t xml:space="preserve">1</t>
        </is>
      </c>
      <c r="E66" s="13">
        <v>10</v>
      </c>
      <c r="F66" s="13" t="inlineStr">
        <is>
          <t xml:space="preserve">Opp 40-21</t>
        </is>
      </c>
      <c r="G66" s="13" t="inlineStr">
        <is>
          <t xml:space="preserve">Left</t>
        </is>
      </c>
      <c r="H66" s="13" t="inlineStr">
        <is>
          <t xml:space="preserve">11</t>
        </is>
      </c>
      <c r="I66" s="13" t="inlineStr">
        <is>
          <t xml:space="preserve">3x1 'T'</t>
        </is>
      </c>
      <c r="J66" s="13"/>
      <c r="K66" s="13" t="inlineStr">
        <is>
          <t xml:space="preserve">Rt</t>
        </is>
      </c>
      <c r="L66" s="13"/>
      <c r="M66" s="13"/>
      <c r="N66" s="13" t="inlineStr">
        <is>
          <t xml:space="preserve">Gun</t>
        </is>
      </c>
      <c r="O66" s="13" t="inlineStr">
        <is>
          <t xml:space="preserve">Run</t>
        </is>
      </c>
      <c r="P66" s="13"/>
      <c r="Q66" s="13"/>
      <c r="R66" s="13"/>
      <c r="S66" s="13"/>
      <c r="T66" s="13"/>
      <c r="U66" s="13"/>
      <c r="V66" s="13" t="inlineStr">
        <is>
          <t xml:space="preserve">T.Bigsby</t>
        </is>
      </c>
      <c r="W66" s="13" t="inlineStr">
        <is>
          <t xml:space="preserve">Run - Gain</t>
        </is>
      </c>
      <c r="X66" s="13">
        <v>1</v>
      </c>
      <c r="Y66" s="13"/>
      <c r="Z66" s="13"/>
      <c r="AA66" s="13"/>
      <c r="AB66" s="13"/>
      <c r="AC66" s="13"/>
      <c r="AD66" s="13"/>
      <c r="AE66" s="13" t="inlineStr">
        <is>
          <t xml:space="preserve">TEN 33. (Shotgun) T.Bigsby up the middle to TEN 32 for 1 yard (J.Simmons; J.Johnson). | Set: Gun, RB offset L; R: Goedert inline, two WRs; L: one WR on the numbers. As snapped: Goedert motions across to the L side, look becomes 2x2 | Motion: D.Goedert / inline R / across the formation to L (behind LT-LG) / at snap | Conf H/H/H, Both</t>
        </is>
      </c>
    </row>
    <row r="67" spans="1:31" ht="15" customHeight="1">
      <c r="A67" s="11" t="str">
        <f>IF(B67="","","W"&amp;B67&amp;"-"&amp;TEXT(COUNTIF($B$5:B67,B67),"000"))</f>
        <v>W2-009</v>
      </c>
      <c r="B67" s="13">
        <v>2</v>
      </c>
      <c r="C67" s="13">
        <v>1</v>
      </c>
      <c r="D67" s="13" t="inlineStr">
        <is>
          <t xml:space="preserve">2</t>
        </is>
      </c>
      <c r="E67" s="13">
        <v>9</v>
      </c>
      <c r="F67" s="13" t="inlineStr">
        <is>
          <t xml:space="preserve">Opp 40-21</t>
        </is>
      </c>
      <c r="G67" s="13" t="inlineStr">
        <is>
          <t xml:space="preserve">Left</t>
        </is>
      </c>
      <c r="H67" s="13" t="inlineStr">
        <is>
          <t xml:space="preserve">11</t>
        </is>
      </c>
      <c r="I67" s="13" t="inlineStr">
        <is>
          <t xml:space="preserve">3x1 'T'</t>
        </is>
      </c>
      <c r="J67" s="13"/>
      <c r="K67" s="13" t="inlineStr">
        <is>
          <t xml:space="preserve">Rt</t>
        </is>
      </c>
      <c r="L67" s="13"/>
      <c r="M67" s="13"/>
      <c r="N67" s="13" t="inlineStr">
        <is>
          <t xml:space="preserve">Gun</t>
        </is>
      </c>
      <c r="O67" s="13"/>
      <c r="P67" s="13"/>
      <c r="Q67" s="13"/>
      <c r="R67" s="13"/>
      <c r="S67" s="13"/>
      <c r="T67" s="13"/>
      <c r="U67" s="13"/>
      <c r="V67" s="13" t="inlineStr">
        <is>
          <t xml:space="preserve">D.Goedert</t>
        </is>
      </c>
      <c r="W67" s="13" t="inlineStr">
        <is>
          <t xml:space="preserve">Complete</t>
        </is>
      </c>
      <c r="X67" s="13">
        <v>4</v>
      </c>
      <c r="Y67" s="13"/>
      <c r="Z67" s="13"/>
      <c r="AA67" s="13"/>
      <c r="AB67" s="13"/>
      <c r="AC67" s="13"/>
      <c r="AD67" s="13"/>
      <c r="AE67" s="13" t="inlineStr">
        <is>
          <t xml:space="preserve">TEN 32. (Shotgun) J.Hurts pass short left to D.Goedert to TEN 28 for 4 yards (C.Barton). | Set: Gun, RB offset R; R: Goedert inline, WR on the line, M.Brown off the ball outside; L: one WR on the numbers. As snapped: Brown in motion across behind the line to the L side | Motion: M.Brown / off the ball R / across behind the line to L / at snap | Conf H/M/H, Both</t>
        </is>
      </c>
    </row>
    <row r="68" spans="1:31" ht="15" customHeight="1">
      <c r="A68" s="11" t="str">
        <f>IF(B68="","","W"&amp;B68&amp;"-"&amp;TEXT(COUNTIF($B$5:B68,B68),"000"))</f>
        <v>W2-010</v>
      </c>
      <c r="B68" s="13">
        <v>2</v>
      </c>
      <c r="C68" s="13">
        <v>1</v>
      </c>
      <c r="D68" s="13" t="inlineStr">
        <is>
          <t xml:space="preserve">3</t>
        </is>
      </c>
      <c r="E68" s="13">
        <v>5</v>
      </c>
      <c r="F68" s="13" t="inlineStr">
        <is>
          <t xml:space="preserve">Opp 40-21</t>
        </is>
      </c>
      <c r="G68" s="13" t="inlineStr">
        <is>
          <t xml:space="preserve">Left</t>
        </is>
      </c>
      <c r="H68" s="13" t="inlineStr">
        <is>
          <t xml:space="preserve">11</t>
        </is>
      </c>
      <c r="I68" s="13" t="inlineStr">
        <is>
          <t xml:space="preserve">Empty</t>
        </is>
      </c>
      <c r="J68" s="13"/>
      <c r="K68" s="13" t="inlineStr">
        <is>
          <t xml:space="preserve">Rt</t>
        </is>
      </c>
      <c r="L68" s="13"/>
      <c r="M68" s="13"/>
      <c r="N68" s="13" t="inlineStr">
        <is>
          <t xml:space="preserve">Gun</t>
        </is>
      </c>
      <c r="O68" s="13"/>
      <c r="P68" s="13"/>
      <c r="Q68" s="13"/>
      <c r="R68" s="13"/>
      <c r="S68" s="13"/>
      <c r="T68" s="13"/>
      <c r="U68" s="13"/>
      <c r="V68" s="13" t="inlineStr">
        <is>
          <t xml:space="preserve">D.Smith</t>
        </is>
      </c>
      <c r="W68" s="13" t="inlineStr">
        <is>
          <t xml:space="preserve">Complete</t>
        </is>
      </c>
      <c r="X68" s="13">
        <v>8</v>
      </c>
      <c r="Y68" s="13"/>
      <c r="Z68" s="13"/>
      <c r="AA68" s="13"/>
      <c r="AB68" s="13"/>
      <c r="AC68" s="13"/>
      <c r="AD68" s="13"/>
      <c r="AE68" s="13" t="inlineStr">
        <is>
          <t xml:space="preserve">TEN 28. (Shotgun) J.Hurts pass short left to D.Smith to TEN 20 for 8 yards (A.Taylor). | Set: Empty gun 3x2: L two WRs (numbers, wide); R Goedert on the line ~4 yds outside RT, a slot, a wide WR. Snapped as set | Conf H/M/H, Both</t>
        </is>
      </c>
    </row>
    <row r="69" spans="1:31" ht="15" customHeight="1">
      <c r="A69" s="11" t="str">
        <f>IF(B69="","","W"&amp;B69&amp;"-"&amp;TEXT(COUNTIF($B$5:B69,B69),"000"))</f>
        <v>W2-011</v>
      </c>
      <c r="B69" s="13">
        <v>2</v>
      </c>
      <c r="C69" s="13">
        <v>1</v>
      </c>
      <c r="D69" s="13" t="inlineStr">
        <is>
          <t xml:space="preserve">1</t>
        </is>
      </c>
      <c r="E69" s="13">
        <v>10</v>
      </c>
      <c r="F69" s="13" t="inlineStr">
        <is>
          <t xml:space="preserve">Opp 20-11 (Red)</t>
        </is>
      </c>
      <c r="G69" s="13" t="inlineStr">
        <is>
          <t xml:space="preserve">Left</t>
        </is>
      </c>
      <c r="H69" s="13" t="inlineStr">
        <is>
          <t xml:space="preserve">11</t>
        </is>
      </c>
      <c r="I69" s="13" t="inlineStr">
        <is>
          <t xml:space="preserve">3x1 'T'</t>
        </is>
      </c>
      <c r="J69" s="13"/>
      <c r="K69" s="13" t="inlineStr">
        <is>
          <t xml:space="preserve">Rt</t>
        </is>
      </c>
      <c r="L69" s="13"/>
      <c r="M69" s="13"/>
      <c r="N69" s="13" t="inlineStr">
        <is>
          <t xml:space="preserve">Gun</t>
        </is>
      </c>
      <c r="O69" s="13" t="inlineStr">
        <is>
          <t xml:space="preserve">Run</t>
        </is>
      </c>
      <c r="P69" s="13"/>
      <c r="Q69" s="13"/>
      <c r="R69" s="13"/>
      <c r="S69" s="13"/>
      <c r="T69" s="13"/>
      <c r="U69" s="13"/>
      <c r="V69" s="13" t="inlineStr">
        <is>
          <t xml:space="preserve">W.Shipley</t>
        </is>
      </c>
      <c r="W69" s="13" t="inlineStr">
        <is>
          <t xml:space="preserve">Run - Gain</t>
        </is>
      </c>
      <c r="X69" s="13">
        <v>5</v>
      </c>
      <c r="Y69" s="13"/>
      <c r="Z69" s="13"/>
      <c r="AA69" s="13"/>
      <c r="AB69" s="13"/>
      <c r="AC69" s="13"/>
      <c r="AD69" s="13"/>
      <c r="AE69" s="13" t="inlineStr">
        <is>
          <t xml:space="preserve">TEN 20. (No Huddle, Shotgun) W.Shipley up the middle to TEN 15 for 5 yards (K.Winston). | Set: Gun, RB offset L; Goedert inline L alone; trips R (slot, slot, wide). Snapped as set | Conf H/H/H, Both</t>
        </is>
      </c>
    </row>
    <row r="70" spans="1:31" ht="15" customHeight="1">
      <c r="A70" s="11" t="str">
        <f>IF(B70="","","W"&amp;B70&amp;"-"&amp;TEXT(COUNTIF($B$5:B70,B70),"000"))</f>
        <v>W2-012</v>
      </c>
      <c r="B70" s="13">
        <v>2</v>
      </c>
      <c r="C70" s="13">
        <v>1</v>
      </c>
      <c r="D70" s="13" t="inlineStr">
        <is>
          <t xml:space="preserve">2</t>
        </is>
      </c>
      <c r="E70" s="13">
        <v>5</v>
      </c>
      <c r="F70" s="13" t="inlineStr">
        <is>
          <t xml:space="preserve">Opp 20-11 (Red)</t>
        </is>
      </c>
      <c r="G70" s="13" t="inlineStr">
        <is>
          <t xml:space="preserve">Left</t>
        </is>
      </c>
      <c r="H70" s="13" t="inlineStr">
        <is>
          <t xml:space="preserve">11</t>
        </is>
      </c>
      <c r="I70" s="13" t="inlineStr">
        <is>
          <t xml:space="preserve">3x1 'T'</t>
        </is>
      </c>
      <c r="J70" s="13"/>
      <c r="K70" s="13" t="inlineStr">
        <is>
          <t xml:space="preserve">Rt</t>
        </is>
      </c>
      <c r="L70" s="13"/>
      <c r="M70" s="13"/>
      <c r="N70" s="13" t="inlineStr">
        <is>
          <t xml:space="preserve">Gun</t>
        </is>
      </c>
      <c r="O70" s="13" t="inlineStr">
        <is>
          <t xml:space="preserve">Run</t>
        </is>
      </c>
      <c r="P70" s="13"/>
      <c r="Q70" s="13"/>
      <c r="R70" s="13"/>
      <c r="S70" s="13"/>
      <c r="T70" s="13"/>
      <c r="U70" s="13"/>
      <c r="V70" s="13" t="inlineStr">
        <is>
          <t xml:space="preserve">W.Shipley</t>
        </is>
      </c>
      <c r="W70" s="13" t="inlineStr">
        <is>
          <t xml:space="preserve">Run - Gain</t>
        </is>
      </c>
      <c r="X70" s="13">
        <v>1</v>
      </c>
      <c r="Y70" s="13"/>
      <c r="Z70" s="13"/>
      <c r="AA70" s="13"/>
      <c r="AB70" s="13"/>
      <c r="AC70" s="13"/>
      <c r="AD70" s="13"/>
      <c r="AE70" s="13" t="inlineStr">
        <is>
          <t xml:space="preserve">TEN 15. (No Huddle, Shotgun) W.Shipley right guard to TEN 14 for 1 yard (A.Hill). | Set: Gun, RB offset L; Goedert inline L alone; trips R (two slots off the ball, one wide). Same look as W2-011, snapped as set | Conf H/H/H, Both</t>
        </is>
      </c>
    </row>
    <row r="71" spans="1:31" ht="15" customHeight="1">
      <c r="A71" s="11" t="str">
        <f>IF(B71="","","W"&amp;B71&amp;"-"&amp;TEXT(COUNTIF($B$5:B71,B71),"000"))</f>
        <v>W2-013</v>
      </c>
      <c r="B71" s="13">
        <v>2</v>
      </c>
      <c r="C71" s="13">
        <v>1</v>
      </c>
      <c r="D71" s="13" t="inlineStr">
        <is>
          <t xml:space="preserve">3</t>
        </is>
      </c>
      <c r="E71" s="13">
        <v>4</v>
      </c>
      <c r="F71" s="13" t="inlineStr">
        <is>
          <t xml:space="preserve">Opp 20-11 (Red)</t>
        </is>
      </c>
      <c r="G71" s="13" t="inlineStr">
        <is>
          <t xml:space="preserve">Middle</t>
        </is>
      </c>
      <c r="H71" s="13" t="inlineStr">
        <is>
          <t xml:space="preserve">11</t>
        </is>
      </c>
      <c r="I71" s="13" t="inlineStr">
        <is>
          <t xml:space="preserve">Empty</t>
        </is>
      </c>
      <c r="J71" s="13"/>
      <c r="K71" s="13" t="inlineStr">
        <is>
          <t xml:space="preserve">Lt</t>
        </is>
      </c>
      <c r="L71" s="13"/>
      <c r="M71" s="13"/>
      <c r="N71" s="13" t="inlineStr">
        <is>
          <t xml:space="preserve">Gun</t>
        </is>
      </c>
      <c r="O71" s="13"/>
      <c r="P71" s="13"/>
      <c r="Q71" s="13"/>
      <c r="R71" s="13"/>
      <c r="S71" s="13"/>
      <c r="T71" s="13"/>
      <c r="U71" s="13"/>
      <c r="V71" s="13" t="inlineStr">
        <is>
          <t xml:space="preserve">D.Wicks</t>
        </is>
      </c>
      <c r="W71" s="13" t="inlineStr">
        <is>
          <t xml:space="preserve">Complete</t>
        </is>
      </c>
      <c r="X71" s="13">
        <v>7</v>
      </c>
      <c r="Y71" s="13"/>
      <c r="Z71" s="13"/>
      <c r="AA71" s="13"/>
      <c r="AB71" s="13"/>
      <c r="AC71" s="13"/>
      <c r="AD71" s="13"/>
      <c r="AE71" s="13" t="inlineStr">
        <is>
          <t xml:space="preserve">TEN 14. (Shotgun) J.Hurts pass short left to D.Wicks to TEN 7 for 7 yards (C.Barton; A.Hill). | Set: Empty gun 3x2: L Mundt inline, Lemon off the ball behind the LT (wing), one receiver on the numbers; R two receivers close together outside the numbers. Snapped as set | Conf H/M/H, Both</t>
        </is>
      </c>
    </row>
    <row r="72" spans="1:31" ht="15" customHeight="1">
      <c r="A72" s="11" t="str">
        <f>IF(B72="","","W"&amp;B72&amp;"-"&amp;TEXT(COUNTIF($B$5:B72,B72),"000"))</f>
        <v>W2-014</v>
      </c>
      <c r="B72" s="13">
        <v>2</v>
      </c>
      <c r="C72" s="13">
        <v>1</v>
      </c>
      <c r="D72" s="13" t="inlineStr">
        <is>
          <t xml:space="preserve">1</t>
        </is>
      </c>
      <c r="E72" s="13">
        <v>7</v>
      </c>
      <c r="F72" s="13" t="inlineStr">
        <is>
          <t xml:space="preserve">Opp 10-1 (Goal Line)</t>
        </is>
      </c>
      <c r="G72" s="13" t="inlineStr">
        <is>
          <t xml:space="preserve">Left</t>
        </is>
      </c>
      <c r="H72" s="13" t="inlineStr">
        <is>
          <t xml:space="preserve">11</t>
        </is>
      </c>
      <c r="I72" s="13" t="inlineStr">
        <is>
          <t xml:space="preserve">3x1 'T'</t>
        </is>
      </c>
      <c r="J72" s="13"/>
      <c r="K72" s="13" t="inlineStr">
        <is>
          <t xml:space="preserve">Rt</t>
        </is>
      </c>
      <c r="L72" s="13"/>
      <c r="M72" s="13"/>
      <c r="N72" s="13" t="inlineStr">
        <is>
          <t xml:space="preserve">Gun</t>
        </is>
      </c>
      <c r="O72" s="13" t="inlineStr">
        <is>
          <t xml:space="preserve">QB Run</t>
        </is>
      </c>
      <c r="P72" s="13"/>
      <c r="Q72" s="13"/>
      <c r="R72" s="13"/>
      <c r="S72" s="13"/>
      <c r="T72" s="13"/>
      <c r="U72" s="13"/>
      <c r="V72" s="13" t="inlineStr">
        <is>
          <t xml:space="preserve">J.Hurts</t>
        </is>
      </c>
      <c r="W72" s="13" t="inlineStr">
        <is>
          <t xml:space="preserve">Run - Loss</t>
        </is>
      </c>
      <c r="X72" s="13">
        <v>-1</v>
      </c>
      <c r="Y72" s="13"/>
      <c r="Z72" s="13"/>
      <c r="AA72" s="13"/>
      <c r="AB72" s="13"/>
      <c r="AC72" s="13"/>
      <c r="AD72" s="13"/>
      <c r="AE72" s="13" t="inlineStr">
        <is>
          <t xml:space="preserve">TEN 7. (No Huddle, Shotgun) J.Hurts left end to TEN 8 for -1 yards (A.Taylor). | Set: Gun, RB offset L; Mundt alone L, standing on the line just outside the LT; trips R (slot, slot, wide). Snapped as set | Conf H/M/H, Both</t>
        </is>
      </c>
    </row>
    <row r="73" spans="1:31" ht="15" customHeight="1">
      <c r="A73" s="11" t="str">
        <f>IF(B73="","","W"&amp;B73&amp;"-"&amp;TEXT(COUNTIF($B$5:B73,B73),"000"))</f>
        <v>W2-015</v>
      </c>
      <c r="B73" s="13">
        <v>2</v>
      </c>
      <c r="C73" s="13">
        <v>1</v>
      </c>
      <c r="D73" s="13" t="inlineStr">
        <is>
          <t xml:space="preserve">2</t>
        </is>
      </c>
      <c r="E73" s="13">
        <v>8</v>
      </c>
      <c r="F73" s="13" t="inlineStr">
        <is>
          <t xml:space="preserve">Opp 10-1 (Goal Line)</t>
        </is>
      </c>
      <c r="G73" s="13" t="inlineStr">
        <is>
          <t xml:space="preserve">Left</t>
        </is>
      </c>
      <c r="H73" s="13" t="inlineStr">
        <is>
          <t xml:space="preserve">11</t>
        </is>
      </c>
      <c r="I73" s="13" t="inlineStr">
        <is>
          <t xml:space="preserve">3x1 'T'</t>
        </is>
      </c>
      <c r="J73" s="13"/>
      <c r="K73" s="13" t="inlineStr">
        <is>
          <t xml:space="preserve">Lt</t>
        </is>
      </c>
      <c r="L73" s="13"/>
      <c r="M73" s="13"/>
      <c r="N73" s="13" t="inlineStr">
        <is>
          <t xml:space="preserve">Gun</t>
        </is>
      </c>
      <c r="O73" s="13"/>
      <c r="P73" s="13"/>
      <c r="Q73" s="13"/>
      <c r="R73" s="13"/>
      <c r="S73" s="13"/>
      <c r="T73" s="13"/>
      <c r="U73" s="13"/>
      <c r="V73" s="13" t="inlineStr">
        <is>
          <t xml:space="preserve">D.Goedert</t>
        </is>
      </c>
      <c r="W73" s="13" t="inlineStr">
        <is>
          <t xml:space="preserve">Incomplete</t>
        </is>
      </c>
      <c r="X73" s="13">
        <v>0</v>
      </c>
      <c r="Y73" s="13"/>
      <c r="Z73" s="13"/>
      <c r="AA73" s="13"/>
      <c r="AB73" s="13"/>
      <c r="AC73" s="13"/>
      <c r="AD73" s="13"/>
      <c r="AE73" s="13" t="inlineStr">
        <is>
          <t xml:space="preserve">TEN 8. (Shotgun) J.Hurts pass incomplete short middle to D.Goedert (J.Simmons). | Set: Gun, RB offset L; L: Goedert inline, two WRs outside (slot off the ball, wide on the line); R: one WR wide. Snapped as set | Conf H/M/H, Both</t>
        </is>
      </c>
    </row>
    <row r="74" spans="1:31" ht="15" customHeight="1">
      <c r="A74" s="11" t="str">
        <f>IF(B74="","","W"&amp;B74&amp;"-"&amp;TEXT(COUNTIF($B$5:B74,B74),"000"))</f>
        <v>W2-016</v>
      </c>
      <c r="B74" s="13">
        <v>2</v>
      </c>
      <c r="C74" s="13">
        <v>1</v>
      </c>
      <c r="D74" s="13" t="inlineStr">
        <is>
          <t xml:space="preserve">3</t>
        </is>
      </c>
      <c r="E74" s="13">
        <v>8</v>
      </c>
      <c r="F74" s="13" t="inlineStr">
        <is>
          <t xml:space="preserve">Opp 10-1 (Goal Line)</t>
        </is>
      </c>
      <c r="G74" s="13" t="inlineStr">
        <is>
          <t xml:space="preserve">Left</t>
        </is>
      </c>
      <c r="H74" s="13" t="inlineStr">
        <is>
          <t xml:space="preserve">11</t>
        </is>
      </c>
      <c r="I74" s="13" t="inlineStr">
        <is>
          <t xml:space="preserve">Bunch 'B'</t>
        </is>
      </c>
      <c r="J74" s="13"/>
      <c r="K74" s="13" t="inlineStr">
        <is>
          <t xml:space="preserve">Rt</t>
        </is>
      </c>
      <c r="L74" s="13"/>
      <c r="M74" s="13"/>
      <c r="N74" s="13" t="inlineStr">
        <is>
          <t xml:space="preserve">Gun</t>
        </is>
      </c>
      <c r="O74" s="13"/>
      <c r="P74" s="13"/>
      <c r="Q74" s="13"/>
      <c r="R74" s="13"/>
      <c r="S74" s="13"/>
      <c r="T74" s="13"/>
      <c r="U74" s="13"/>
      <c r="V74" s="13" t="inlineStr">
        <is>
          <t xml:space="preserve">D.Smith</t>
        </is>
      </c>
      <c r="W74" s="13" t="inlineStr">
        <is>
          <t xml:space="preserve">Interception</t>
        </is>
      </c>
      <c r="X74" s="13">
        <v>0</v>
      </c>
      <c r="Y74" s="13"/>
      <c r="Z74" s="13"/>
      <c r="AA74" s="13"/>
      <c r="AB74" s="13"/>
      <c r="AC74" s="13"/>
      <c r="AD74" s="13"/>
      <c r="AE74" s="13" t="inlineStr">
        <is>
          <t xml:space="preserve">TEN 8. (Shotgun) J.Hurts pass short right intended for D.Smith INTERCEPTED by A.Hooker at TEN -2. A.Hooker to PHI 10 for 92 yards (M.Lemon). | Set: Gun, RB offset L; one WR wide L; three-man bunch R (Goedert in the bunch, inferred), outside the tackle box. Snapped as set | Conf H/M/H, Both</t>
        </is>
      </c>
    </row>
    <row r="75" spans="1:31" ht="15" customHeight="1">
      <c r="A75" s="11" t="str">
        <f>IF(B75="","","W"&amp;B75&amp;"-"&amp;TEXT(COUNTIF($B$5:B75,B75),"000"))</f>
        <v>W2-017</v>
      </c>
      <c r="B75" s="13">
        <v>2</v>
      </c>
      <c r="C75" s="13">
        <v>1</v>
      </c>
      <c r="D75" s="13" t="inlineStr">
        <is>
          <t xml:space="preserve">1</t>
        </is>
      </c>
      <c r="E75" s="13">
        <v>10</v>
      </c>
      <c r="F75" s="13" t="inlineStr">
        <is>
          <t xml:space="preserve">Own 21-40</t>
        </is>
      </c>
      <c r="G75" s="13" t="inlineStr">
        <is>
          <t xml:space="preserve">Right</t>
        </is>
      </c>
      <c r="H75" s="13" t="inlineStr">
        <is>
          <t xml:space="preserve">12</t>
        </is>
      </c>
      <c r="I75" s="13" t="inlineStr">
        <is>
          <t xml:space="preserve">3x1 'T'</t>
        </is>
      </c>
      <c r="J75" s="13"/>
      <c r="K75" s="13" t="inlineStr">
        <is>
          <t xml:space="preserve">Lt</t>
        </is>
      </c>
      <c r="L75" s="13"/>
      <c r="M75" s="13"/>
      <c r="N75" s="13" t="inlineStr">
        <is>
          <t xml:space="preserve">Under Center</t>
        </is>
      </c>
      <c r="O75" s="13"/>
      <c r="P75" s="13"/>
      <c r="Q75" s="13"/>
      <c r="R75" s="13"/>
      <c r="S75" s="13"/>
      <c r="T75" s="13"/>
      <c r="U75" s="13"/>
      <c r="V75" s="13" t="inlineStr">
        <is>
          <t xml:space="preserve">T.Bigsby</t>
        </is>
      </c>
      <c r="W75" s="13" t="inlineStr">
        <is>
          <t xml:space="preserve">Complete</t>
        </is>
      </c>
      <c r="X75" s="13">
        <v>7</v>
      </c>
      <c r="Y75" s="13"/>
      <c r="Z75" s="13"/>
      <c r="AA75" s="13"/>
      <c r="AB75" s="13"/>
      <c r="AC75" s="13"/>
      <c r="AD75" s="13"/>
      <c r="AE75" s="13" t="inlineStr">
        <is>
          <t xml:space="preserve">PHI 35. J.Hurts pass short right to T.Bigsby pushed ob at PHI 42 for 7 yards (A.Hill). | Set: Under center, Bigsby deep I-back; L: Jenkins inline, Mundt wing off his hip, WR outside; R: one WR wide, no TE. Snapped as set | Conf H/H/H, Both</t>
        </is>
      </c>
    </row>
    <row r="76" spans="1:31" ht="15" customHeight="1">
      <c r="A76" s="11" t="str">
        <f>IF(B76="","","W"&amp;B76&amp;"-"&amp;TEXT(COUNTIF($B$5:B76,B76),"000"))</f>
        <v>W2-018</v>
      </c>
      <c r="B76" s="13">
        <v>2</v>
      </c>
      <c r="C76" s="13">
        <v>1</v>
      </c>
      <c r="D76" s="13" t="inlineStr">
        <is>
          <t xml:space="preserve">2</t>
        </is>
      </c>
      <c r="E76" s="13">
        <v>3</v>
      </c>
      <c r="F76" s="13" t="inlineStr">
        <is>
          <t xml:space="preserve">Own 41 to Mid</t>
        </is>
      </c>
      <c r="G76" s="13" t="inlineStr">
        <is>
          <t xml:space="preserve">Middle</t>
        </is>
      </c>
      <c r="H76" s="13" t="inlineStr">
        <is>
          <t xml:space="preserve">11</t>
        </is>
      </c>
      <c r="I76" s="13" t="inlineStr">
        <is>
          <t xml:space="preserve">3x1 'T'</t>
        </is>
      </c>
      <c r="J76" s="13"/>
      <c r="K76" s="13" t="inlineStr">
        <is>
          <t xml:space="preserve">Lt</t>
        </is>
      </c>
      <c r="L76" s="13"/>
      <c r="M76" s="13"/>
      <c r="N76" s="13" t="inlineStr">
        <is>
          <t xml:space="preserve">Pistol</t>
        </is>
      </c>
      <c r="O76" s="13" t="inlineStr">
        <is>
          <t xml:space="preserve">Run</t>
        </is>
      </c>
      <c r="P76" s="13"/>
      <c r="Q76" s="13"/>
      <c r="R76" s="13"/>
      <c r="S76" s="13"/>
      <c r="T76" s="13"/>
      <c r="U76" s="13"/>
      <c r="V76" s="13" t="inlineStr">
        <is>
          <t xml:space="preserve">T.Bigsby</t>
        </is>
      </c>
      <c r="W76" s="13" t="inlineStr">
        <is>
          <t xml:space="preserve">Run - Gain</t>
        </is>
      </c>
      <c r="X76" s="13">
        <v>4</v>
      </c>
      <c r="Y76" s="13"/>
      <c r="Z76" s="13"/>
      <c r="AA76" s="13"/>
      <c r="AB76" s="13"/>
      <c r="AC76" s="13"/>
      <c r="AD76" s="13"/>
      <c r="AE76" s="13" t="inlineStr">
        <is>
          <t xml:space="preserve">PHI 42. (Shotgun) T.Bigsby right tackle to PHI 46 for 4 yards (S.Thomas; A.Hooker). | Set: Pistol, Bigsby behind QB; L: Goedert inline, Lemon on the line just outside, a WR off the ball behind/outside Lemon; R: one WR wide. Snapped as set | Conf H/M/H, Both</t>
        </is>
      </c>
    </row>
    <row r="77" spans="1:31" ht="15" customHeight="1">
      <c r="A77" s="11" t="str">
        <f>IF(B77="","","W"&amp;B77&amp;"-"&amp;TEXT(COUNTIF($B$5:B77,B77),"000"))</f>
        <v>W2-019</v>
      </c>
      <c r="B77" s="13">
        <v>2</v>
      </c>
      <c r="C77" s="13">
        <v>1</v>
      </c>
      <c r="D77" s="13" t="inlineStr">
        <is>
          <t xml:space="preserve">1</t>
        </is>
      </c>
      <c r="E77" s="13">
        <v>10</v>
      </c>
      <c r="F77" s="13" t="inlineStr">
        <is>
          <t xml:space="preserve">Own 41 to Mid</t>
        </is>
      </c>
      <c r="G77" s="13" t="inlineStr">
        <is>
          <t xml:space="preserve">Middle</t>
        </is>
      </c>
      <c r="H77" s="13" t="inlineStr">
        <is>
          <t xml:space="preserve">11</t>
        </is>
      </c>
      <c r="I77" s="13" t="inlineStr">
        <is>
          <t xml:space="preserve">2x2 'D'</t>
        </is>
      </c>
      <c r="J77" s="13"/>
      <c r="K77" s="13" t="inlineStr">
        <is>
          <t xml:space="preserve">Rt</t>
        </is>
      </c>
      <c r="L77" s="13"/>
      <c r="M77" s="13"/>
      <c r="N77" s="13" t="inlineStr">
        <is>
          <t xml:space="preserve">Under Center</t>
        </is>
      </c>
      <c r="O77" s="13" t="inlineStr">
        <is>
          <t xml:space="preserve">Run</t>
        </is>
      </c>
      <c r="P77" s="13"/>
      <c r="Q77" s="13"/>
      <c r="R77" s="13"/>
      <c r="S77" s="13"/>
      <c r="T77" s="13"/>
      <c r="U77" s="13"/>
      <c r="V77" s="13" t="inlineStr">
        <is>
          <t xml:space="preserve">T.Bigsby</t>
        </is>
      </c>
      <c r="W77" s="13" t="inlineStr">
        <is>
          <t xml:space="preserve">Run - Gain</t>
        </is>
      </c>
      <c r="X77" s="13">
        <v>4</v>
      </c>
      <c r="Y77" s="13"/>
      <c r="Z77" s="13"/>
      <c r="AA77" s="13"/>
      <c r="AB77" s="13"/>
      <c r="AC77" s="13"/>
      <c r="AD77" s="13"/>
      <c r="AE77" s="13" t="inlineStr">
        <is>
          <t xml:space="preserve">PHI 46. T.Bigsby left tackle to 50 for 4 yards (O.Oladejo). | Set: Under center, Bigsby deep I-back; L: two WRs wide, close together outside the numbers; R: Goedert inline, WR on the numbers. Snapped as set | Conf H/M/H, Both</t>
        </is>
      </c>
    </row>
    <row r="78" spans="1:31" ht="15" customHeight="1">
      <c r="A78" s="11" t="str">
        <f>IF(B78="","","W"&amp;B78&amp;"-"&amp;TEXT(COUNTIF($B$5:B78,B78),"000"))</f>
        <v>W2-020</v>
      </c>
      <c r="B78" s="13">
        <v>2</v>
      </c>
      <c r="C78" s="13">
        <v>1</v>
      </c>
      <c r="D78" s="13" t="inlineStr">
        <is>
          <t xml:space="preserve">2</t>
        </is>
      </c>
      <c r="E78" s="13">
        <v>6</v>
      </c>
      <c r="F78" s="13" t="inlineStr">
        <is>
          <t xml:space="preserve">Own 41 to Mid</t>
        </is>
      </c>
      <c r="G78" s="13" t="inlineStr">
        <is>
          <t xml:space="preserve">Left</t>
        </is>
      </c>
      <c r="H78" s="13" t="inlineStr">
        <is>
          <t xml:space="preserve">11</t>
        </is>
      </c>
      <c r="I78" s="13" t="inlineStr">
        <is>
          <t xml:space="preserve">2x2 'D'</t>
        </is>
      </c>
      <c r="J78" s="13"/>
      <c r="K78" s="13" t="inlineStr">
        <is>
          <t xml:space="preserve">Lt</t>
        </is>
      </c>
      <c r="L78" s="13"/>
      <c r="M78" s="13"/>
      <c r="N78" s="13" t="inlineStr">
        <is>
          <t xml:space="preserve">Gun</t>
        </is>
      </c>
      <c r="O78" s="13"/>
      <c r="P78" s="13"/>
      <c r="Q78" s="13"/>
      <c r="R78" s="13"/>
      <c r="S78" s="13"/>
      <c r="T78" s="13"/>
      <c r="U78" s="13"/>
      <c r="V78" s="13" t="inlineStr">
        <is>
          <t xml:space="preserve">D.Smith</t>
        </is>
      </c>
      <c r="W78" s="13" t="inlineStr">
        <is>
          <t xml:space="preserve">Complete</t>
        </is>
      </c>
      <c r="X78" s="13">
        <v>10</v>
      </c>
      <c r="Y78" s="13"/>
      <c r="Z78" s="13"/>
      <c r="AA78" s="13"/>
      <c r="AB78" s="13"/>
      <c r="AC78" s="13"/>
      <c r="AD78" s="13"/>
      <c r="AE78" s="13" t="inlineStr">
        <is>
          <t xml:space="preserve">50. (Shotgun) J.Hurts pass short left to D.Smith to TEN 40 for 10 yards (A.Hill). | Set: Gun, Bigsby offset R; L: Goedert on the line just outside the LT, WR off the ball outside him; R: two WRs (one on the line, one off). Snapped as set | Conf H/M/H, Both</t>
        </is>
      </c>
    </row>
    <row r="79" spans="1:31" ht="15" customHeight="1">
      <c r="A79" s="11" t="str">
        <f>IF(B79="","","W"&amp;B79&amp;"-"&amp;TEXT(COUNTIF($B$5:B79,B79),"000"))</f>
        <v>W2-021</v>
      </c>
      <c r="B79" s="13">
        <v>2</v>
      </c>
      <c r="C79" s="13">
        <v>1</v>
      </c>
      <c r="D79" s="13" t="inlineStr">
        <is>
          <t xml:space="preserve">1</t>
        </is>
      </c>
      <c r="E79" s="13">
        <v>10</v>
      </c>
      <c r="F79" s="13" t="inlineStr">
        <is>
          <t xml:space="preserve">Opp 40-21</t>
        </is>
      </c>
      <c r="G79" s="13" t="inlineStr">
        <is>
          <t xml:space="preserve">Left</t>
        </is>
      </c>
      <c r="H79" s="13" t="inlineStr">
        <is>
          <t xml:space="preserve">12</t>
        </is>
      </c>
      <c r="I79" s="13" t="inlineStr">
        <is>
          <t xml:space="preserve">3x1 'T'</t>
        </is>
      </c>
      <c r="J79" s="13"/>
      <c r="K79" s="13" t="inlineStr">
        <is>
          <t xml:space="preserve">Rt</t>
        </is>
      </c>
      <c r="L79" s="13"/>
      <c r="M79" s="13"/>
      <c r="N79" s="13" t="inlineStr">
        <is>
          <t xml:space="preserve">Pistol</t>
        </is>
      </c>
      <c r="O79" s="13" t="inlineStr">
        <is>
          <t xml:space="preserve">Run</t>
        </is>
      </c>
      <c r="P79" s="13"/>
      <c r="Q79" s="13"/>
      <c r="R79" s="13"/>
      <c r="S79" s="13"/>
      <c r="T79" s="13"/>
      <c r="U79" s="13"/>
      <c r="V79" s="13" t="inlineStr">
        <is>
          <t xml:space="preserve">T.Bigsby</t>
        </is>
      </c>
      <c r="W79" s="13" t="inlineStr">
        <is>
          <t xml:space="preserve">Run - Gain</t>
        </is>
      </c>
      <c r="X79" s="13">
        <v>2</v>
      </c>
      <c r="Y79" s="13"/>
      <c r="Z79" s="13"/>
      <c r="AA79" s="13"/>
      <c r="AB79" s="13"/>
      <c r="AC79" s="13"/>
      <c r="AD79" s="13"/>
      <c r="AE79" s="13" t="inlineStr">
        <is>
          <t xml:space="preserve">TEN 40. (Shotgun) T.Bigsby right guard to TEN 38 for 2 yards (K.Winston; J.Franklin-Myers). | Set: Pistol, Bigsby behind QB; R: Mundt inline, Goedert wing off the ball outside him, WR wide; L: one WR wide. Snapped as set | Conf H/M/H, Both</t>
        </is>
      </c>
    </row>
    <row r="80" spans="1:31" ht="15" customHeight="1">
      <c r="A80" s="11" t="str">
        <f>IF(B80="","","W"&amp;B80&amp;"-"&amp;TEXT(COUNTIF($B$5:B80,B80),"000"))</f>
        <v>W2-022</v>
      </c>
      <c r="B80" s="13">
        <v>2</v>
      </c>
      <c r="C80" s="13">
        <v>1</v>
      </c>
      <c r="D80" s="13" t="inlineStr">
        <is>
          <t xml:space="preserve">2</t>
        </is>
      </c>
      <c r="E80" s="13">
        <v>8</v>
      </c>
      <c r="F80" s="13" t="inlineStr">
        <is>
          <t xml:space="preserve">Opp 40-21</t>
        </is>
      </c>
      <c r="G80" s="13" t="inlineStr">
        <is>
          <t xml:space="preserve">Middle</t>
        </is>
      </c>
      <c r="H80" s="13" t="inlineStr">
        <is>
          <t xml:space="preserve">12</t>
        </is>
      </c>
      <c r="I80" s="13" t="inlineStr">
        <is>
          <t xml:space="preserve">3x1 'T'</t>
        </is>
      </c>
      <c r="J80" s="13"/>
      <c r="K80" s="13" t="inlineStr">
        <is>
          <t xml:space="preserve">Lt</t>
        </is>
      </c>
      <c r="L80" s="13"/>
      <c r="M80" s="13"/>
      <c r="N80" s="13" t="inlineStr">
        <is>
          <t xml:space="preserve">Under Center</t>
        </is>
      </c>
      <c r="O80" s="13" t="inlineStr">
        <is>
          <t xml:space="preserve">Run</t>
        </is>
      </c>
      <c r="P80" s="13"/>
      <c r="Q80" s="13"/>
      <c r="R80" s="13"/>
      <c r="S80" s="13"/>
      <c r="T80" s="13"/>
      <c r="U80" s="13"/>
      <c r="V80" s="13" t="inlineStr">
        <is>
          <t xml:space="preserve">T.Bigsby</t>
        </is>
      </c>
      <c r="W80" s="13" t="inlineStr">
        <is>
          <t xml:space="preserve">Run - Loss</t>
        </is>
      </c>
      <c r="X80" s="13">
        <v>0</v>
      </c>
      <c r="Y80" s="13"/>
      <c r="Z80" s="13"/>
      <c r="AA80" s="13"/>
      <c r="AB80" s="13"/>
      <c r="AC80" s="13"/>
      <c r="AD80" s="13"/>
      <c r="AE80" s="13" t="inlineStr">
        <is>
          <t xml:space="preserve">TEN 38. T.Bigsby right tackle to TEN 38 for no gain (K.Winston; M.Robinson). | Set: Under center, Bigsby deep I-back; L: Jenkins inline, Mundt on the line outside him, WR on the numbers; R: one WR wide. Snapped as set | Conf H/H/H, Both</t>
        </is>
      </c>
    </row>
    <row r="81" spans="1:31" ht="15" customHeight="1">
      <c r="A81" s="11" t="str">
        <f>IF(B81="","","W"&amp;B81&amp;"-"&amp;TEXT(COUNTIF($B$5:B81,B81),"000"))</f>
        <v>W2-023</v>
      </c>
      <c r="B81" s="13">
        <v>2</v>
      </c>
      <c r="C81" s="13">
        <v>1</v>
      </c>
      <c r="D81" s="13" t="inlineStr">
        <is>
          <t xml:space="preserve">3</t>
        </is>
      </c>
      <c r="E81" s="13">
        <v>8</v>
      </c>
      <c r="F81" s="13" t="inlineStr">
        <is>
          <t xml:space="preserve">Opp 40-21</t>
        </is>
      </c>
      <c r="G81" s="13" t="inlineStr">
        <is>
          <t xml:space="preserve">Right</t>
        </is>
      </c>
      <c r="H81" s="13" t="inlineStr">
        <is>
          <t xml:space="preserve">11</t>
        </is>
      </c>
      <c r="I81" s="13" t="inlineStr">
        <is>
          <t xml:space="preserve">2x2 'D'</t>
        </is>
      </c>
      <c r="J81" s="13"/>
      <c r="K81" s="13" t="inlineStr">
        <is>
          <t xml:space="preserve">Rt</t>
        </is>
      </c>
      <c r="L81" s="13"/>
      <c r="M81" s="13"/>
      <c r="N81" s="13" t="inlineStr">
        <is>
          <t xml:space="preserve">Gun</t>
        </is>
      </c>
      <c r="O81" s="13"/>
      <c r="P81" s="13"/>
      <c r="Q81" s="13"/>
      <c r="R81" s="13"/>
      <c r="S81" s="13"/>
      <c r="T81" s="13"/>
      <c r="U81" s="13"/>
      <c r="V81" s="13" t="inlineStr">
        <is>
          <t xml:space="preserve">M.Lemon</t>
        </is>
      </c>
      <c r="W81" s="13" t="inlineStr">
        <is>
          <t xml:space="preserve">Complete</t>
        </is>
      </c>
      <c r="X81" s="13">
        <v>14</v>
      </c>
      <c r="Y81" s="13"/>
      <c r="Z81" s="13"/>
      <c r="AA81" s="13"/>
      <c r="AB81" s="13"/>
      <c r="AC81" s="13"/>
      <c r="AD81" s="13"/>
      <c r="AE81" s="13" t="inlineStr">
        <is>
          <t xml:space="preserve">TEN 38. (Shotgun) J.Hurts pass short middle to M.Lemon to TEN 24 for 14 yards (K.Winston). | Set: Gun, Shipley offset L; L: two WRs wide; R: Goedert on the line ~2 yds outside RT, D.Smith just outside him. Snapped as set | Conf H/M/H, Both</t>
        </is>
      </c>
    </row>
    <row r="82" spans="1:31" ht="15" customHeight="1">
      <c r="A82" s="11" t="str">
        <f>IF(B82="","","W"&amp;B82&amp;"-"&amp;TEXT(COUNTIF($B$5:B82,B82),"000"))</f>
        <v>W2-024</v>
      </c>
      <c r="B82" s="13">
        <v>2</v>
      </c>
      <c r="C82" s="13">
        <v>2</v>
      </c>
      <c r="D82" s="13" t="inlineStr">
        <is>
          <t xml:space="preserve">1</t>
        </is>
      </c>
      <c r="E82" s="13">
        <v>10</v>
      </c>
      <c r="F82" s="13" t="inlineStr">
        <is>
          <t xml:space="preserve">Opp 40-21</t>
        </is>
      </c>
      <c r="G82" s="13" t="inlineStr">
        <is>
          <t xml:space="preserve">Right</t>
        </is>
      </c>
      <c r="H82" s="13" t="inlineStr">
        <is>
          <t xml:space="preserve">11</t>
        </is>
      </c>
      <c r="I82" s="13" t="inlineStr">
        <is>
          <t xml:space="preserve">2x2 'D'</t>
        </is>
      </c>
      <c r="J82" s="13"/>
      <c r="K82" s="13" t="inlineStr">
        <is>
          <t xml:space="preserve">Lt</t>
        </is>
      </c>
      <c r="L82" s="13"/>
      <c r="M82" s="13"/>
      <c r="N82" s="13" t="inlineStr">
        <is>
          <t xml:space="preserve">Pistol</t>
        </is>
      </c>
      <c r="O82" s="13"/>
      <c r="P82" s="13"/>
      <c r="Q82" s="13"/>
      <c r="R82" s="13"/>
      <c r="S82" s="13"/>
      <c r="T82" s="13"/>
      <c r="U82" s="13"/>
      <c r="V82" s="13" t="inlineStr">
        <is>
          <t xml:space="preserve">D.Smith</t>
        </is>
      </c>
      <c r="W82" s="13" t="inlineStr">
        <is>
          <t xml:space="preserve">Complete</t>
        </is>
      </c>
      <c r="X82" s="13">
        <v>8</v>
      </c>
      <c r="Y82" s="13"/>
      <c r="Z82" s="13"/>
      <c r="AA82" s="13"/>
      <c r="AB82" s="13"/>
      <c r="AC82" s="13"/>
      <c r="AD82" s="13"/>
      <c r="AE82" s="13" t="inlineStr">
        <is>
          <t xml:space="preserve">TEN 24. (Shotgun) J.Hurts pass short right to D.Smith to TEN 16 for 8 yards (A.Hooker) [J.Franklin-Myers]. | Set: Pistol, Shipley behind Hurts; L: slot off the ball + WR wide; R: slot + WR wide. No inline TE. Snapped as set | Str by field side | Conf H/M/H, Both</t>
        </is>
      </c>
    </row>
    <row r="83" spans="1:31" ht="15" customHeight="1">
      <c r="A83" s="11" t="str">
        <f>IF(B83="","","W"&amp;B83&amp;"-"&amp;TEXT(COUNTIF($B$5:B83,B83),"000"))</f>
        <v>W2-025</v>
      </c>
      <c r="B83" s="13">
        <v>2</v>
      </c>
      <c r="C83" s="13">
        <v>2</v>
      </c>
      <c r="D83" s="13" t="inlineStr">
        <is>
          <t xml:space="preserve">2</t>
        </is>
      </c>
      <c r="E83" s="13">
        <v>2</v>
      </c>
      <c r="F83" s="13" t="inlineStr">
        <is>
          <t xml:space="preserve">Opp 20-11 (Red)</t>
        </is>
      </c>
      <c r="G83" s="13" t="inlineStr">
        <is>
          <t xml:space="preserve">Middle</t>
        </is>
      </c>
      <c r="H83" s="13" t="inlineStr">
        <is>
          <t xml:space="preserve">13</t>
        </is>
      </c>
      <c r="I83" s="13" t="inlineStr">
        <is>
          <t xml:space="preserve">Big</t>
        </is>
      </c>
      <c r="J83" s="13"/>
      <c r="K83" s="13"/>
      <c r="L83" s="13"/>
      <c r="M83" s="13"/>
      <c r="N83" s="13" t="inlineStr">
        <is>
          <t xml:space="preserve">Under Center</t>
        </is>
      </c>
      <c r="O83" s="13" t="inlineStr">
        <is>
          <t xml:space="preserve">Run</t>
        </is>
      </c>
      <c r="P83" s="13"/>
      <c r="Q83" s="13"/>
      <c r="R83" s="13"/>
      <c r="S83" s="13"/>
      <c r="T83" s="13"/>
      <c r="U83" s="13"/>
      <c r="V83" s="13" t="inlineStr">
        <is>
          <t xml:space="preserve">W.Shipley</t>
        </is>
      </c>
      <c r="W83" s="13" t="inlineStr">
        <is>
          <t xml:space="preserve">Run - Gain</t>
        </is>
      </c>
      <c r="X83" s="13">
        <v>5</v>
      </c>
      <c r="Y83" s="13"/>
      <c r="Z83" s="13"/>
      <c r="AA83" s="13"/>
      <c r="AB83" s="13"/>
      <c r="AC83" s="13"/>
      <c r="AD83" s="13"/>
      <c r="AE83" s="13" t="inlineStr">
        <is>
          <t xml:space="preserve">TEN 16. W.Shipley up the middle to TEN 11 for 5 yards (A.Hill). | Set: Under center, Shipley deep I-back; L: two TEs on the line (inline + next to him); R: no attached TE, two players off the ball split wide (stacked/near the numbers: a TE and Cooper). Snapped as set | Str unknown | Conf H/M/M, Both</t>
        </is>
      </c>
    </row>
    <row r="84" spans="1:31" ht="15" customHeight="1">
      <c r="A84" s="11" t="str">
        <f>IF(B84="","","W"&amp;B84&amp;"-"&amp;TEXT(COUNTIF($B$5:B84,B84),"000"))</f>
        <v>W2-026</v>
      </c>
      <c r="B84" s="13">
        <v>2</v>
      </c>
      <c r="C84" s="13">
        <v>2</v>
      </c>
      <c r="D84" s="13" t="inlineStr">
        <is>
          <t xml:space="preserve">1</t>
        </is>
      </c>
      <c r="E84" s="13">
        <v>10</v>
      </c>
      <c r="F84" s="13" t="inlineStr">
        <is>
          <t xml:space="preserve">Opp 20-11 (Red)</t>
        </is>
      </c>
      <c r="G84" s="13" t="inlineStr">
        <is>
          <t xml:space="preserve">Right</t>
        </is>
      </c>
      <c r="H84" s="13" t="inlineStr">
        <is>
          <t xml:space="preserve">12</t>
        </is>
      </c>
      <c r="I84" s="13" t="inlineStr">
        <is>
          <t xml:space="preserve">3x1 'T'</t>
        </is>
      </c>
      <c r="J84" s="13"/>
      <c r="K84" s="13" t="inlineStr">
        <is>
          <t xml:space="preserve">Lt</t>
        </is>
      </c>
      <c r="L84" s="13"/>
      <c r="M84" s="13"/>
      <c r="N84" s="13" t="inlineStr">
        <is>
          <t xml:space="preserve">Under Center</t>
        </is>
      </c>
      <c r="O84" s="13" t="inlineStr">
        <is>
          <t xml:space="preserve">Run</t>
        </is>
      </c>
      <c r="P84" s="13"/>
      <c r="Q84" s="13"/>
      <c r="R84" s="13"/>
      <c r="S84" s="13"/>
      <c r="T84" s="13"/>
      <c r="U84" s="13"/>
      <c r="V84" s="13" t="inlineStr">
        <is>
          <t xml:space="preserve">T.Bigsby</t>
        </is>
      </c>
      <c r="W84" s="13" t="inlineStr">
        <is>
          <t xml:space="preserve">Run - Gain</t>
        </is>
      </c>
      <c r="X84" s="13">
        <v>9</v>
      </c>
      <c r="Y84" s="13"/>
      <c r="Z84" s="13"/>
      <c r="AA84" s="13"/>
      <c r="AB84" s="13"/>
      <c r="AC84" s="13"/>
      <c r="AD84" s="13"/>
      <c r="AE84" s="13" t="inlineStr">
        <is>
          <t xml:space="preserve">TEN 11. T.Bigsby up the middle to TEN 2 for 9 yards (C.Barton; C.Gray). | Set: Under center, Bigsby deep I-back; L: TE inline, TE tight beside him on the line, Wicks wide off the ball; R: Smith wide. As snapped: Wicks motions across the backfield to the R side, look becomes 2x2 | Motion: D.Wicks / wide L / across backfield to R / at snap | Conf H/M/H, Both</t>
        </is>
      </c>
    </row>
    <row r="85" spans="1:31" ht="15" customHeight="1">
      <c r="A85" s="11" t="str">
        <f>IF(B85="","","W"&amp;B85&amp;"-"&amp;TEXT(COUNTIF($B$5:B85,B85),"000"))</f>
        <v>W2-027</v>
      </c>
      <c r="B85" s="13">
        <v>2</v>
      </c>
      <c r="C85" s="13">
        <v>2</v>
      </c>
      <c r="D85" s="13" t="inlineStr">
        <is>
          <t xml:space="preserve">2</t>
        </is>
      </c>
      <c r="E85" s="13">
        <v>1</v>
      </c>
      <c r="F85" s="13" t="inlineStr">
        <is>
          <t xml:space="preserve">Opp 10-1 (Goal Line)</t>
        </is>
      </c>
      <c r="G85" s="13" t="inlineStr">
        <is>
          <t xml:space="preserve">Right</t>
        </is>
      </c>
      <c r="H85" s="13" t="inlineStr">
        <is>
          <t xml:space="preserve">12</t>
        </is>
      </c>
      <c r="I85" s="13" t="inlineStr">
        <is>
          <t>Big</t>
        </is>
      </c>
      <c r="J85" s="13"/>
      <c r="K85" s="13" t="inlineStr">
        <is>
          <t xml:space="preserve">Lt</t>
        </is>
      </c>
      <c r="L85" s="13"/>
      <c r="M85" s="13"/>
      <c r="N85" s="13" t="inlineStr">
        <is>
          <t xml:space="preserve">Under Center</t>
        </is>
      </c>
      <c r="O85" s="13" t="inlineStr">
        <is>
          <t xml:space="preserve">Run</t>
        </is>
      </c>
      <c r="P85" s="13"/>
      <c r="Q85" s="13"/>
      <c r="R85" s="13"/>
      <c r="S85" s="13"/>
      <c r="T85" s="13"/>
      <c r="U85" s="13"/>
      <c r="V85" s="13" t="inlineStr">
        <is>
          <t xml:space="preserve">T.Bigsby</t>
        </is>
      </c>
      <c r="W85" s="13" t="inlineStr">
        <is>
          <t xml:space="preserve">Touchdown</t>
        </is>
      </c>
      <c r="X85" s="13">
        <v>2</v>
      </c>
      <c r="Y85" s="13"/>
      <c r="Z85" s="13"/>
      <c r="AA85" s="13"/>
      <c r="AB85" s="13"/>
      <c r="AC85" s="13"/>
      <c r="AD85" s="13"/>
      <c r="AE85" s="13" t="inlineStr">
        <is>
          <t xml:space="preserve">TEN 2. T.Bigsby up the middle for 2 yards, TOUCHDOWN. | Set: Under center, Bigsby deep I-back; L: TE inline, TE wing off his hip, WR off the ball just outside; R: one WR off the ball near the numbers. Snapped as set | Conf H/M/H, Both</t>
        </is>
      </c>
    </row>
    <row r="86" spans="1:31" ht="15" customHeight="1">
      <c r="A86" s="11" t="str">
        <f>IF(B86="","","W"&amp;B86&amp;"-"&amp;TEXT(COUNTIF($B$5:B86,B86),"000"))</f>
        <v>W2-028</v>
      </c>
      <c r="B86" s="13">
        <v>2</v>
      </c>
      <c r="C86" s="13">
        <v>2</v>
      </c>
      <c r="D86" s="13" t="inlineStr">
        <is>
          <t xml:space="preserve">1</t>
        </is>
      </c>
      <c r="E86" s="13">
        <v>10</v>
      </c>
      <c r="F86" s="13" t="inlineStr">
        <is>
          <t xml:space="preserve">Own 11-20</t>
        </is>
      </c>
      <c r="G86" s="13" t="inlineStr">
        <is>
          <t xml:space="preserve">Right</t>
        </is>
      </c>
      <c r="H86" s="13" t="inlineStr">
        <is>
          <t xml:space="preserve">11</t>
        </is>
      </c>
      <c r="I86" s="13" t="inlineStr">
        <is>
          <t xml:space="preserve">2x2 'D'</t>
        </is>
      </c>
      <c r="J86" s="13"/>
      <c r="K86" s="13" t="inlineStr">
        <is>
          <t xml:space="preserve">Rt</t>
        </is>
      </c>
      <c r="L86" s="13"/>
      <c r="M86" s="13"/>
      <c r="N86" s="13" t="inlineStr">
        <is>
          <t xml:space="preserve">Under Center</t>
        </is>
      </c>
      <c r="O86" s="13" t="inlineStr">
        <is>
          <t xml:space="preserve">Run</t>
        </is>
      </c>
      <c r="P86" s="13"/>
      <c r="Q86" s="13"/>
      <c r="R86" s="13"/>
      <c r="S86" s="13"/>
      <c r="T86" s="13"/>
      <c r="U86" s="13"/>
      <c r="V86" s="13" t="inlineStr">
        <is>
          <t xml:space="preserve">M.Brown</t>
        </is>
      </c>
      <c r="W86" s="13" t="inlineStr">
        <is>
          <t xml:space="preserve">Run - Gain</t>
        </is>
      </c>
      <c r="X86" s="13">
        <v>9</v>
      </c>
      <c r="Y86" s="13"/>
      <c r="Z86" s="13"/>
      <c r="AA86" s="13"/>
      <c r="AB86" s="13"/>
      <c r="AC86" s="13"/>
      <c r="AD86" s="13"/>
      <c r="AE86" s="13" t="inlineStr">
        <is>
          <t xml:space="preserve">PHI 19. M.Brown left end to PHI 28 for 9 yards (E.Hallett; M.Robinson). | Set: Under center, Bigsby deep I-back; R: Mundt inline, M.Brown wide; L: two WRs off the ball (slot + wide). As snapped: Brown in jet motion across toward the ball | Motion: M.Brown / wide R / jet across the formation toward L / at snap | Conf H/M/H, Both</t>
        </is>
      </c>
    </row>
    <row r="87" spans="1:31" ht="15" customHeight="1">
      <c r="A87" s="11" t="str">
        <f>IF(B87="","","W"&amp;B87&amp;"-"&amp;TEXT(COUNTIF($B$5:B87,B87),"000"))</f>
        <v>W2-029</v>
      </c>
      <c r="B87" s="13">
        <v>2</v>
      </c>
      <c r="C87" s="13">
        <v>2</v>
      </c>
      <c r="D87" s="13" t="inlineStr">
        <is>
          <t xml:space="preserve">2</t>
        </is>
      </c>
      <c r="E87" s="13">
        <v>1</v>
      </c>
      <c r="F87" s="13" t="inlineStr">
        <is>
          <t xml:space="preserve">Own 21-40</t>
        </is>
      </c>
      <c r="G87" s="13" t="inlineStr">
        <is>
          <t xml:space="preserve">Left</t>
        </is>
      </c>
      <c r="H87" s="13" t="inlineStr">
        <is>
          <t xml:space="preserve">12</t>
        </is>
      </c>
      <c r="I87" s="13" t="inlineStr">
        <is>
          <t xml:space="preserve">2x2 'D'</t>
        </is>
      </c>
      <c r="J87" s="13"/>
      <c r="K87" s="13" t="inlineStr">
        <is>
          <t xml:space="preserve">Lt</t>
        </is>
      </c>
      <c r="L87" s="13"/>
      <c r="M87" s="13"/>
      <c r="N87" s="13" t="inlineStr">
        <is>
          <t xml:space="preserve">Under Center</t>
        </is>
      </c>
      <c r="O87" s="13"/>
      <c r="P87" s="13"/>
      <c r="Q87" s="13"/>
      <c r="R87" s="13"/>
      <c r="S87" s="13"/>
      <c r="T87" s="13"/>
      <c r="U87" s="13"/>
      <c r="V87" s="13" t="inlineStr">
        <is>
          <t xml:space="preserve">D.Smith</t>
        </is>
      </c>
      <c r="W87" s="13" t="inlineStr">
        <is>
          <t xml:space="preserve">Complete</t>
        </is>
      </c>
      <c r="X87" s="13">
        <v>18</v>
      </c>
      <c r="Y87" s="13"/>
      <c r="Z87" s="13"/>
      <c r="AA87" s="13"/>
      <c r="AB87" s="13"/>
      <c r="AC87" s="13"/>
      <c r="AD87" s="13"/>
      <c r="AE87" s="13" t="inlineStr">
        <is>
          <t xml:space="preserve">PHI 28. J.Hurts pass deep right to D.Smith ran ob at PHI 46 for 18 yards. | Set: Under center, Bigsby deep I-back; L: TE inline, TE wing off his hip; R: two WRs off the ball (slot and numbers). Snapped as set | Conf H/M/H, Both</t>
        </is>
      </c>
    </row>
    <row r="88" spans="1:31" ht="15" customHeight="1">
      <c r="A88" s="11" t="str">
        <f>IF(B88="","","W"&amp;B88&amp;"-"&amp;TEXT(COUNTIF($B$5:B88,B88),"000"))</f>
        <v>W2-030</v>
      </c>
      <c r="B88" s="13">
        <v>2</v>
      </c>
      <c r="C88" s="13">
        <v>2</v>
      </c>
      <c r="D88" s="13" t="inlineStr">
        <is>
          <t xml:space="preserve">1</t>
        </is>
      </c>
      <c r="E88" s="13">
        <v>10</v>
      </c>
      <c r="F88" s="13" t="inlineStr">
        <is>
          <t xml:space="preserve">Own 41 to Mid</t>
        </is>
      </c>
      <c r="G88" s="13" t="inlineStr">
        <is>
          <t xml:space="preserve">Right</t>
        </is>
      </c>
      <c r="H88" s="13" t="inlineStr">
        <is>
          <t xml:space="preserve">12</t>
        </is>
      </c>
      <c r="I88" s="13" t="inlineStr">
        <is>
          <t xml:space="preserve">2x2 'D'</t>
        </is>
      </c>
      <c r="J88" s="13"/>
      <c r="K88" s="13" t="inlineStr">
        <is>
          <t xml:space="preserve">Lt</t>
        </is>
      </c>
      <c r="L88" s="13"/>
      <c r="M88" s="13"/>
      <c r="N88" s="13" t="inlineStr">
        <is>
          <t xml:space="preserve">Under Center</t>
        </is>
      </c>
      <c r="O88" s="13" t="inlineStr">
        <is>
          <t xml:space="preserve">Run</t>
        </is>
      </c>
      <c r="P88" s="13"/>
      <c r="Q88" s="13"/>
      <c r="R88" s="13"/>
      <c r="S88" s="13"/>
      <c r="T88" s="13"/>
      <c r="U88" s="13"/>
      <c r="V88" s="13" t="inlineStr">
        <is>
          <t xml:space="preserve">T.Bigsby</t>
        </is>
      </c>
      <c r="W88" s="13" t="inlineStr">
        <is>
          <t xml:space="preserve">Run - Gain</t>
        </is>
      </c>
      <c r="X88" s="13">
        <v>2</v>
      </c>
      <c r="Y88" s="13"/>
      <c r="Z88" s="13"/>
      <c r="AA88" s="13"/>
      <c r="AB88" s="13"/>
      <c r="AC88" s="13"/>
      <c r="AD88" s="13"/>
      <c r="AE88" s="13" t="inlineStr">
        <is>
          <t xml:space="preserve">PHI 46. (No Huddle) T.Bigsby right tackle to PHI 48 for 2 yards (T.Jones). | Set: Under center, Bigsby deep I-back; TE inline each side; one WR off the ball each side (R near the numbers, L slot). Snapped as set | Str by field side | Conf H/M/H, Both</t>
        </is>
      </c>
    </row>
    <row r="89" spans="1:31" ht="15" customHeight="1">
      <c r="A89" s="11" t="str">
        <f>IF(B89="","","W"&amp;B89&amp;"-"&amp;TEXT(COUNTIF($B$5:B89,B89),"000"))</f>
        <v>W2-031</v>
      </c>
      <c r="B89" s="13">
        <v>2</v>
      </c>
      <c r="C89" s="13">
        <v>2</v>
      </c>
      <c r="D89" s="13" t="inlineStr">
        <is>
          <t xml:space="preserve">2</t>
        </is>
      </c>
      <c r="E89" s="13">
        <v>8</v>
      </c>
      <c r="F89" s="13" t="inlineStr">
        <is>
          <t xml:space="preserve">Own 41 to Mid</t>
        </is>
      </c>
      <c r="G89" s="13" t="inlineStr">
        <is>
          <t xml:space="preserve">Right</t>
        </is>
      </c>
      <c r="H89" s="13" t="inlineStr">
        <is>
          <t xml:space="preserve">11</t>
        </is>
      </c>
      <c r="I89" s="13" t="inlineStr">
        <is>
          <t xml:space="preserve">Empty</t>
        </is>
      </c>
      <c r="J89" s="13"/>
      <c r="K89" s="13" t="inlineStr">
        <is>
          <t xml:space="preserve">Lt</t>
        </is>
      </c>
      <c r="L89" s="13"/>
      <c r="M89" s="13"/>
      <c r="N89" s="13" t="inlineStr">
        <is>
          <t xml:space="preserve">Gun</t>
        </is>
      </c>
      <c r="O89" s="13"/>
      <c r="P89" s="13"/>
      <c r="Q89" s="13"/>
      <c r="R89" s="13"/>
      <c r="S89" s="13"/>
      <c r="T89" s="13"/>
      <c r="U89" s="13"/>
      <c r="V89" s="13"/>
      <c r="W89" s="13" t="inlineStr">
        <is>
          <t xml:space="preserve">Sack</t>
        </is>
      </c>
      <c r="X89" s="13">
        <v>-1</v>
      </c>
      <c r="Y89" s="13"/>
      <c r="Z89" s="13"/>
      <c r="AA89" s="13"/>
      <c r="AB89" s="13"/>
      <c r="AC89" s="13"/>
      <c r="AD89" s="13"/>
      <c r="AE89" s="13" t="inlineStr">
        <is>
          <t xml:space="preserve">PHI 48. (Shotgun) J.Hurts sacked ob at PHI 47 for -1 yards (J.Simmons). | Set: Empty gun 3x2: L three receivers (TE tight to the formation, two outside); R two WRs (slot + wide). Snapped as set | Conf H/M/H, Both</t>
        </is>
      </c>
    </row>
    <row r="90" spans="1:31" ht="15" customHeight="1">
      <c r="A90" s="11" t="str">
        <f>IF(B90="","","W"&amp;B90&amp;"-"&amp;TEXT(COUNTIF($B$5:B90,B90),"000"))</f>
        <v>W2-032</v>
      </c>
      <c r="B90" s="13">
        <v>2</v>
      </c>
      <c r="C90" s="13">
        <v>2</v>
      </c>
      <c r="D90" s="13" t="inlineStr">
        <is>
          <t xml:space="preserve">3</t>
        </is>
      </c>
      <c r="E90" s="13">
        <v>9</v>
      </c>
      <c r="F90" s="13" t="inlineStr">
        <is>
          <t xml:space="preserve">Own 41 to Mid</t>
        </is>
      </c>
      <c r="G90" s="13" t="inlineStr">
        <is>
          <t xml:space="preserve">Right</t>
        </is>
      </c>
      <c r="H90" s="13" t="inlineStr">
        <is>
          <t xml:space="preserve">11</t>
        </is>
      </c>
      <c r="I90" s="13" t="inlineStr">
        <is>
          <t xml:space="preserve">3x1 'T'</t>
        </is>
      </c>
      <c r="J90" s="13"/>
      <c r="K90" s="13" t="inlineStr">
        <is>
          <t xml:space="preserve">Lt</t>
        </is>
      </c>
      <c r="L90" s="13"/>
      <c r="M90" s="13"/>
      <c r="N90" s="13" t="inlineStr">
        <is>
          <t xml:space="preserve">Gun</t>
        </is>
      </c>
      <c r="O90" s="13" t="inlineStr">
        <is>
          <t xml:space="preserve">Scramble</t>
        </is>
      </c>
      <c r="P90" s="13"/>
      <c r="Q90" s="13"/>
      <c r="R90" s="13"/>
      <c r="S90" s="13"/>
      <c r="T90" s="13"/>
      <c r="U90" s="13"/>
      <c r="V90" s="13" t="inlineStr">
        <is>
          <t xml:space="preserve">J.Hurts</t>
        </is>
      </c>
      <c r="W90" s="13" t="inlineStr">
        <is>
          <t xml:space="preserve">Scramble</t>
        </is>
      </c>
      <c r="X90" s="13">
        <v>7</v>
      </c>
      <c r="Y90" s="13"/>
      <c r="Z90" s="13"/>
      <c r="AA90" s="13"/>
      <c r="AB90" s="13"/>
      <c r="AC90" s="13"/>
      <c r="AD90" s="13"/>
      <c r="AE90" s="13" t="inlineStr">
        <is>
          <t xml:space="preserve">PHI 47. (Shotgun) J.Hurts scrambles up the middle to TEN 46 for 7 yards (C.Gray). | Set: Gun, Shipley offset R; L: three receivers (Jenkins tight/slot, two WRs outside); R: one WR wide. Snapped as set | Conf H/M/H, Both</t>
        </is>
      </c>
    </row>
    <row r="91" spans="1:31" ht="15" customHeight="1">
      <c r="A91" s="11" t="str">
        <f>IF(B91="","","W"&amp;B91&amp;"-"&amp;TEXT(COUNTIF($B$5:B91,B91),"000"))</f>
        <v>W2-033</v>
      </c>
      <c r="B91" s="13">
        <v>2</v>
      </c>
      <c r="C91" s="13">
        <v>2</v>
      </c>
      <c r="D91" s="13" t="inlineStr">
        <is>
          <t xml:space="preserve">4</t>
        </is>
      </c>
      <c r="E91" s="13">
        <v>2</v>
      </c>
      <c r="F91" s="13" t="inlineStr">
        <is>
          <t xml:space="preserve">Mid to Opp 41</t>
        </is>
      </c>
      <c r="G91" s="13" t="inlineStr">
        <is>
          <t xml:space="preserve">Right</t>
        </is>
      </c>
      <c r="H91" s="13" t="inlineStr">
        <is>
          <t xml:space="preserve">11</t>
        </is>
      </c>
      <c r="I91" s="13" t="inlineStr">
        <is>
          <t xml:space="preserve">3x1 'T'</t>
        </is>
      </c>
      <c r="J91" s="13"/>
      <c r="K91" s="13" t="inlineStr">
        <is>
          <t xml:space="preserve">Rt</t>
        </is>
      </c>
      <c r="L91" s="13"/>
      <c r="M91" s="13"/>
      <c r="N91" s="13" t="inlineStr">
        <is>
          <t xml:space="preserve">Gun</t>
        </is>
      </c>
      <c r="O91" s="13"/>
      <c r="P91" s="13"/>
      <c r="Q91" s="13"/>
      <c r="R91" s="13"/>
      <c r="S91" s="13"/>
      <c r="T91" s="13"/>
      <c r="U91" s="13"/>
      <c r="V91" s="13" t="inlineStr">
        <is>
          <t xml:space="preserve">D.Wicks</t>
        </is>
      </c>
      <c r="W91" s="13" t="inlineStr">
        <is>
          <t xml:space="preserve">Complete</t>
        </is>
      </c>
      <c r="X91" s="13">
        <v>5</v>
      </c>
      <c r="Y91" s="13"/>
      <c r="Z91" s="13"/>
      <c r="AA91" s="13"/>
      <c r="AB91" s="13"/>
      <c r="AC91" s="13"/>
      <c r="AD91" s="13"/>
      <c r="AE91" s="13" t="inlineStr">
        <is>
          <t xml:space="preserve">TEN 46. (Shotgun) J.Hurts pass short left to D.Wicks to TEN 41 for 5 yards (M.Robinson). | Set: Gun, Shipley offset L; R: trips (two outside on/near the numbers, Wicks inside off the ball); L: one WR wide. As snapped: Wicks motions from the R slot in toward the QB | Motion: D.Wicks / slot R / in toward the backfield beside QB / at snap | Conf H/M/H, Both</t>
        </is>
      </c>
    </row>
    <row r="92" spans="1:31" ht="15" customHeight="1">
      <c r="A92" s="11" t="str">
        <f>IF(B92="","","W"&amp;B92&amp;"-"&amp;TEXT(COUNTIF($B$5:B92,B92),"000"))</f>
        <v>W2-034</v>
      </c>
      <c r="B92" s="13">
        <v>2</v>
      </c>
      <c r="C92" s="13">
        <v>2</v>
      </c>
      <c r="D92" s="13" t="inlineStr">
        <is>
          <t xml:space="preserve">1</t>
        </is>
      </c>
      <c r="E92" s="13">
        <v>10</v>
      </c>
      <c r="F92" s="13" t="inlineStr">
        <is>
          <t xml:space="preserve">Mid to Opp 41</t>
        </is>
      </c>
      <c r="G92" s="13" t="inlineStr">
        <is>
          <t xml:space="preserve">Left</t>
        </is>
      </c>
      <c r="H92" s="13" t="inlineStr">
        <is>
          <t xml:space="preserve">12</t>
        </is>
      </c>
      <c r="I92" s="13" t="inlineStr">
        <is>
          <t xml:space="preserve">3x1 'T'</t>
        </is>
      </c>
      <c r="J92" s="13"/>
      <c r="K92" s="13" t="inlineStr">
        <is>
          <t xml:space="preserve">Rt</t>
        </is>
      </c>
      <c r="L92" s="13"/>
      <c r="M92" s="13"/>
      <c r="N92" s="13" t="inlineStr">
        <is>
          <t xml:space="preserve">Under Center</t>
        </is>
      </c>
      <c r="O92" s="13" t="inlineStr">
        <is>
          <t xml:space="preserve">Run</t>
        </is>
      </c>
      <c r="P92" s="13"/>
      <c r="Q92" s="13"/>
      <c r="R92" s="13"/>
      <c r="S92" s="13"/>
      <c r="T92" s="13"/>
      <c r="U92" s="13"/>
      <c r="V92" s="13" t="inlineStr">
        <is>
          <t xml:space="preserve">W.Shipley</t>
        </is>
      </c>
      <c r="W92" s="13" t="inlineStr">
        <is>
          <t xml:space="preserve">Run - Gain</t>
        </is>
      </c>
      <c r="X92" s="13">
        <v>7</v>
      </c>
      <c r="Y92" s="13"/>
      <c r="Z92" s="13"/>
      <c r="AA92" s="13"/>
      <c r="AB92" s="13"/>
      <c r="AC92" s="13"/>
      <c r="AD92" s="13"/>
      <c r="AE92" s="13" t="inlineStr">
        <is>
          <t xml:space="preserve">TEN 41. W.Shipley left end pushed ob at TEN 34 for 7 yards (K.Winston; S.Thomas). | Set: Under center, Shipley deep I-back; R: TE inline, Mundt off the ball outside him, Wicks wide; L: Cooper wide. Snapped as set | Conf H/M/H, Both</t>
        </is>
      </c>
    </row>
    <row r="93" spans="1:31" ht="15" customHeight="1">
      <c r="A93" s="11" t="str">
        <f>IF(B93="","","W"&amp;B93&amp;"-"&amp;TEXT(COUNTIF($B$5:B93,B93),"000"))</f>
        <v>W2-035</v>
      </c>
      <c r="B93" s="13">
        <v>2</v>
      </c>
      <c r="C93" s="13">
        <v>2</v>
      </c>
      <c r="D93" s="13" t="inlineStr">
        <is>
          <t xml:space="preserve">2</t>
        </is>
      </c>
      <c r="E93" s="13">
        <v>3</v>
      </c>
      <c r="F93" s="13" t="inlineStr">
        <is>
          <t xml:space="preserve">Opp 40-21</t>
        </is>
      </c>
      <c r="G93" s="13" t="inlineStr">
        <is>
          <t xml:space="preserve">Left</t>
        </is>
      </c>
      <c r="H93" s="13" t="inlineStr">
        <is>
          <t xml:space="preserve">12</t>
        </is>
      </c>
      <c r="I93" s="13" t="inlineStr">
        <is>
          <t>Big</t>
        </is>
      </c>
      <c r="J93" s="13"/>
      <c r="K93" s="13" t="inlineStr">
        <is>
          <t xml:space="preserve">Rt</t>
        </is>
      </c>
      <c r="L93" s="13"/>
      <c r="M93" s="13"/>
      <c r="N93" s="13" t="inlineStr">
        <is>
          <t xml:space="preserve">Under Center</t>
        </is>
      </c>
      <c r="O93" s="13" t="inlineStr">
        <is>
          <t xml:space="preserve">Run</t>
        </is>
      </c>
      <c r="P93" s="13"/>
      <c r="Q93" s="13"/>
      <c r="R93" s="13"/>
      <c r="S93" s="13"/>
      <c r="T93" s="13"/>
      <c r="U93" s="13"/>
      <c r="V93" s="13" t="inlineStr">
        <is>
          <t xml:space="preserve">T.Bigsby</t>
        </is>
      </c>
      <c r="W93" s="13" t="inlineStr">
        <is>
          <t xml:space="preserve">Run - Loss</t>
        </is>
      </c>
      <c r="X93" s="13">
        <v>-1</v>
      </c>
      <c r="Y93" s="13"/>
      <c r="Z93" s="13"/>
      <c r="AA93" s="13"/>
      <c r="AB93" s="13"/>
      <c r="AC93" s="13"/>
      <c r="AD93" s="13"/>
      <c r="AE93" s="13" t="inlineStr">
        <is>
          <t xml:space="preserve">TEN 34. T.Bigsby right tackle to TEN 35 for -1 yards (N.Stackhouse, M.Robinson). | Set: Under center, Bigsby deep I-back; R: TE inline, TE wing, WR tight outside them; L: one WR wide. Snapped as set | Conf H/M/H, Both</t>
        </is>
      </c>
    </row>
    <row r="94" spans="1:31" ht="15" customHeight="1">
      <c r="A94" s="11" t="str">
        <f>IF(B94="","","W"&amp;B94&amp;"-"&amp;TEXT(COUNTIF($B$5:B94,B94),"000"))</f>
        <v>W2-036</v>
      </c>
      <c r="B94" s="13">
        <v>2</v>
      </c>
      <c r="C94" s="13">
        <v>2</v>
      </c>
      <c r="D94" s="13" t="inlineStr">
        <is>
          <t xml:space="preserve">3</t>
        </is>
      </c>
      <c r="E94" s="13">
        <v>4</v>
      </c>
      <c r="F94" s="13" t="inlineStr">
        <is>
          <t xml:space="preserve">Opp 40-21</t>
        </is>
      </c>
      <c r="G94" s="13" t="inlineStr">
        <is>
          <t xml:space="preserve">Right</t>
        </is>
      </c>
      <c r="H94" s="13" t="inlineStr">
        <is>
          <t xml:space="preserve">12</t>
        </is>
      </c>
      <c r="I94" s="13" t="inlineStr">
        <is>
          <t xml:space="preserve">2 Back</t>
        </is>
      </c>
      <c r="J94" s="13"/>
      <c r="K94" s="13" t="inlineStr">
        <is>
          <t xml:space="preserve">Lt</t>
        </is>
      </c>
      <c r="L94" s="13"/>
      <c r="M94" s="13"/>
      <c r="N94" s="13" t="inlineStr">
        <is>
          <t xml:space="preserve">Gun</t>
        </is>
      </c>
      <c r="O94" s="13" t="inlineStr">
        <is>
          <t xml:space="preserve">QB Run</t>
        </is>
      </c>
      <c r="P94" s="13"/>
      <c r="Q94" s="13"/>
      <c r="R94" s="13"/>
      <c r="S94" s="13"/>
      <c r="T94" s="13"/>
      <c r="U94" s="13"/>
      <c r="V94" s="13" t="inlineStr">
        <is>
          <t xml:space="preserve">J.Hurts</t>
        </is>
      </c>
      <c r="W94" s="13" t="inlineStr">
        <is>
          <t xml:space="preserve">Run - Gain</t>
        </is>
      </c>
      <c r="X94" s="13">
        <v>4</v>
      </c>
      <c r="Y94" s="13"/>
      <c r="Z94" s="13"/>
      <c r="AA94" s="13"/>
      <c r="AB94" s="13"/>
      <c r="AC94" s="13"/>
      <c r="AD94" s="13"/>
      <c r="AE94" s="13" t="inlineStr">
        <is>
          <t xml:space="preserve">TEN 35. (Shotgun) J.Hurts right end ran ob at TEN 31 for 4 yards (A.Hooker). PENALTY on TEN-C.Gray, Illegal Use of Hands, 5 yards, enforced at TEN 31. | Set: Gun with two backs: Shipley and a TE as an H-back beside/behind Hurts; L: TE inline, WR wide; R: one WR wide. Snapped as set | Conf H/L/H, Both</t>
        </is>
      </c>
    </row>
    <row r="95" spans="1:31" ht="15" customHeight="1">
      <c r="A95" s="11" t="str">
        <f>IF(B95="","","W"&amp;B95&amp;"-"&amp;TEXT(COUNTIF($B$5:B95,B95),"000"))</f>
        <v>W2-037</v>
      </c>
      <c r="B95" s="13">
        <v>2</v>
      </c>
      <c r="C95" s="13">
        <v>2</v>
      </c>
      <c r="D95" s="13" t="inlineStr">
        <is>
          <t xml:space="preserve">1</t>
        </is>
      </c>
      <c r="E95" s="13">
        <v>10</v>
      </c>
      <c r="F95" s="13" t="inlineStr">
        <is>
          <t xml:space="preserve">Opp 40-21</t>
        </is>
      </c>
      <c r="G95" s="13" t="inlineStr">
        <is>
          <t xml:space="preserve">Right</t>
        </is>
      </c>
      <c r="H95" s="13" t="inlineStr">
        <is>
          <t xml:space="preserve">11</t>
        </is>
      </c>
      <c r="I95" s="13" t="inlineStr">
        <is>
          <t xml:space="preserve">2x2 'D'</t>
        </is>
      </c>
      <c r="J95" s="13"/>
      <c r="K95" s="13" t="inlineStr">
        <is>
          <t xml:space="preserve">Rt</t>
        </is>
      </c>
      <c r="L95" s="13"/>
      <c r="M95" s="13"/>
      <c r="N95" s="13" t="inlineStr">
        <is>
          <t xml:space="preserve">Under Center</t>
        </is>
      </c>
      <c r="O95" s="13" t="inlineStr">
        <is>
          <t xml:space="preserve">Run</t>
        </is>
      </c>
      <c r="P95" s="13"/>
      <c r="Q95" s="13"/>
      <c r="R95" s="13"/>
      <c r="S95" s="13"/>
      <c r="T95" s="13"/>
      <c r="U95" s="13"/>
      <c r="V95" s="13" t="inlineStr">
        <is>
          <t xml:space="preserve">W.Shipley</t>
        </is>
      </c>
      <c r="W95" s="13" t="inlineStr">
        <is>
          <t xml:space="preserve">Run - Loss</t>
        </is>
      </c>
      <c r="X95" s="13">
        <v>0</v>
      </c>
      <c r="Y95" s="13"/>
      <c r="Z95" s="13"/>
      <c r="AA95" s="13"/>
      <c r="AB95" s="13"/>
      <c r="AC95" s="13"/>
      <c r="AD95" s="13"/>
      <c r="AE95" s="13" t="inlineStr">
        <is>
          <t xml:space="preserve">TEN 26. W.Shipley right end to TEN 26 for no gain (J.Simmons). | Set: Under center, Shipley deep I-back; R: Jenkins inline, WR off the ball near the numbers; L: two WRs (slot off the ball, wide). Snapped as set | Conf H/M/H, Both</t>
        </is>
      </c>
    </row>
    <row r="96" spans="1:31" ht="15" customHeight="1">
      <c r="A96" s="11" t="str">
        <f>IF(B96="","","W"&amp;B96&amp;"-"&amp;TEXT(COUNTIF($B$5:B96,B96),"000"))</f>
        <v>W2-038</v>
      </c>
      <c r="B96" s="13">
        <v>2</v>
      </c>
      <c r="C96" s="13">
        <v>2</v>
      </c>
      <c r="D96" s="13" t="inlineStr">
        <is>
          <t xml:space="preserve">2</t>
        </is>
      </c>
      <c r="E96" s="13">
        <v>10</v>
      </c>
      <c r="F96" s="13" t="inlineStr">
        <is>
          <t xml:space="preserve">Opp 40-21</t>
        </is>
      </c>
      <c r="G96" s="13" t="inlineStr">
        <is>
          <t xml:space="preserve">Right</t>
        </is>
      </c>
      <c r="H96" s="13" t="inlineStr">
        <is>
          <t xml:space="preserve">11</t>
        </is>
      </c>
      <c r="I96" s="13" t="inlineStr">
        <is>
          <t xml:space="preserve">2x2 'D'</t>
        </is>
      </c>
      <c r="J96" s="13"/>
      <c r="K96" s="13" t="inlineStr">
        <is>
          <t xml:space="preserve">Lt</t>
        </is>
      </c>
      <c r="L96" s="13"/>
      <c r="M96" s="13"/>
      <c r="N96" s="13" t="inlineStr">
        <is>
          <t xml:space="preserve">Gun</t>
        </is>
      </c>
      <c r="O96" s="13"/>
      <c r="P96" s="13"/>
      <c r="Q96" s="13"/>
      <c r="R96" s="13"/>
      <c r="S96" s="13"/>
      <c r="T96" s="13"/>
      <c r="U96" s="13"/>
      <c r="V96" s="13" t="inlineStr">
        <is>
          <t xml:space="preserve">W.Shipley</t>
        </is>
      </c>
      <c r="W96" s="13" t="inlineStr">
        <is>
          <t xml:space="preserve">Complete</t>
        </is>
      </c>
      <c r="X96" s="13">
        <v>-2</v>
      </c>
      <c r="Y96" s="13"/>
      <c r="Z96" s="13"/>
      <c r="AA96" s="13"/>
      <c r="AB96" s="13"/>
      <c r="AC96" s="13"/>
      <c r="AD96" s="13"/>
      <c r="AE96" s="13" t="inlineStr">
        <is>
          <t xml:space="preserve">TEN 26. (Shotgun) J.Hurts pass short right to W.Shipley to TEN 28 for -2 yards (A.Taylor). | Set: Gun, Shipley offset R; R: WR wide + receiver in the slot off the ball; L: slot + WR wide. No inline TE (Mundt detached). Snapped as set | Str by field side | Conf H/M/H, Both</t>
        </is>
      </c>
    </row>
    <row r="97" spans="1:31" ht="15" customHeight="1">
      <c r="A97" s="11" t="str">
        <f>IF(B97="","","W"&amp;B97&amp;"-"&amp;TEXT(COUNTIF($B$5:B97,B97),"000"))</f>
        <v>W2-039</v>
      </c>
      <c r="B97" s="13">
        <v>2</v>
      </c>
      <c r="C97" s="13">
        <v>2</v>
      </c>
      <c r="D97" s="13" t="inlineStr">
        <is>
          <t xml:space="preserve">3</t>
        </is>
      </c>
      <c r="E97" s="13">
        <v>12</v>
      </c>
      <c r="F97" s="13" t="inlineStr">
        <is>
          <t xml:space="preserve">Opp 40-21</t>
        </is>
      </c>
      <c r="G97" s="13" t="inlineStr">
        <is>
          <t xml:space="preserve">Right</t>
        </is>
      </c>
      <c r="H97" s="13" t="inlineStr">
        <is>
          <t xml:space="preserve">11</t>
        </is>
      </c>
      <c r="I97" s="13" t="inlineStr">
        <is>
          <t xml:space="preserve">2x2 'D'</t>
        </is>
      </c>
      <c r="J97" s="13"/>
      <c r="K97" s="13" t="inlineStr">
        <is>
          <t xml:space="preserve">Rt</t>
        </is>
      </c>
      <c r="L97" s="13"/>
      <c r="M97" s="13"/>
      <c r="N97" s="13" t="inlineStr">
        <is>
          <t xml:space="preserve">Gun</t>
        </is>
      </c>
      <c r="O97" s="13"/>
      <c r="P97" s="13"/>
      <c r="Q97" s="13"/>
      <c r="R97" s="13"/>
      <c r="S97" s="13"/>
      <c r="T97" s="13"/>
      <c r="U97" s="13"/>
      <c r="V97" s="13" t="inlineStr">
        <is>
          <t xml:space="preserve">D.Wicks</t>
        </is>
      </c>
      <c r="W97" s="13" t="inlineStr">
        <is>
          <t xml:space="preserve">Complete</t>
        </is>
      </c>
      <c r="X97" s="13">
        <v>15</v>
      </c>
      <c r="Y97" s="13"/>
      <c r="Z97" s="13"/>
      <c r="AA97" s="13"/>
      <c r="AB97" s="13"/>
      <c r="AC97" s="13"/>
      <c r="AD97" s="13"/>
      <c r="AE97" s="13" t="inlineStr">
        <is>
          <t xml:space="preserve">TEN 28. (No Huddle, Shotgun) J.Hurts pass short right to D.Wicks to TEN 13 for 15 yards (A.Hooker) [J.Simmons]. | Set: Gun, Shipley offset L; R: Mundt on the line a few yds outside the RT + WR outside; L: two WRs off the ball close together (near-stack). Snapped as set | Conf H/M/H, Both</t>
        </is>
      </c>
    </row>
    <row r="98" spans="1:31" ht="15" customHeight="1">
      <c r="A98" s="11" t="str">
        <f>IF(B98="","","W"&amp;B98&amp;"-"&amp;TEXT(COUNTIF($B$5:B98,B98),"000"))</f>
        <v>W2-040</v>
      </c>
      <c r="B98" s="13">
        <v>2</v>
      </c>
      <c r="C98" s="13">
        <v>2</v>
      </c>
      <c r="D98" s="13" t="inlineStr">
        <is>
          <t xml:space="preserve">1</t>
        </is>
      </c>
      <c r="E98" s="13">
        <v>10</v>
      </c>
      <c r="F98" s="13" t="inlineStr">
        <is>
          <t xml:space="preserve">Opp 20-11 (Red)</t>
        </is>
      </c>
      <c r="G98" s="13" t="inlineStr">
        <is>
          <t xml:space="preserve">Right</t>
        </is>
      </c>
      <c r="H98" s="13" t="inlineStr">
        <is>
          <t xml:space="preserve">11</t>
        </is>
      </c>
      <c r="I98" s="13" t="inlineStr">
        <is>
          <t xml:space="preserve">2x2 'D'</t>
        </is>
      </c>
      <c r="J98" s="13"/>
      <c r="K98" s="13" t="inlineStr">
        <is>
          <t xml:space="preserve">Lt</t>
        </is>
      </c>
      <c r="L98" s="13"/>
      <c r="M98" s="13"/>
      <c r="N98" s="13" t="inlineStr">
        <is>
          <t xml:space="preserve">Under Center</t>
        </is>
      </c>
      <c r="O98" s="13" t="inlineStr">
        <is>
          <t xml:space="preserve">Run</t>
        </is>
      </c>
      <c r="P98" s="13"/>
      <c r="Q98" s="13"/>
      <c r="R98" s="13"/>
      <c r="S98" s="13"/>
      <c r="T98" s="13"/>
      <c r="U98" s="13"/>
      <c r="V98" s="13" t="inlineStr">
        <is>
          <t xml:space="preserve">W.Shipley</t>
        </is>
      </c>
      <c r="W98" s="13" t="inlineStr">
        <is>
          <t xml:space="preserve">Run - Gain</t>
        </is>
      </c>
      <c r="X98" s="13">
        <v>1</v>
      </c>
      <c r="Y98" s="13"/>
      <c r="Z98" s="13"/>
      <c r="AA98" s="13"/>
      <c r="AB98" s="13"/>
      <c r="AC98" s="13"/>
      <c r="AD98" s="13"/>
      <c r="AE98" s="13" t="inlineStr">
        <is>
          <t xml:space="preserve">TEN 13. (No Huddle) W.Shipley right tackle to TEN 12 for 1 yard (S.Thomas). | Set: Under center, Shipley deep I-back; L: Mundt on the line ~2 yds outside the LT, WR wide; R: WR in the slot off the ball, WR wide. Snapped as set | Conf H/M/H, Both</t>
        </is>
      </c>
    </row>
    <row r="99" spans="1:31" ht="15" customHeight="1">
      <c r="A99" s="11" t="str">
        <f>IF(B99="","","W"&amp;B99&amp;"-"&amp;TEXT(COUNTIF($B$5:B99,B99),"000"))</f>
        <v>W2-041</v>
      </c>
      <c r="B99" s="13">
        <v>2</v>
      </c>
      <c r="C99" s="13">
        <v>2</v>
      </c>
      <c r="D99" s="13" t="inlineStr">
        <is>
          <t xml:space="preserve">2</t>
        </is>
      </c>
      <c r="E99" s="13">
        <v>9</v>
      </c>
      <c r="F99" s="13" t="inlineStr">
        <is>
          <t xml:space="preserve">Opp 20-11 (Red)</t>
        </is>
      </c>
      <c r="G99" s="13" t="inlineStr">
        <is>
          <t xml:space="preserve">Right</t>
        </is>
      </c>
      <c r="H99" s="13" t="inlineStr">
        <is>
          <t xml:space="preserve">11</t>
        </is>
      </c>
      <c r="I99" s="13" t="inlineStr">
        <is>
          <t xml:space="preserve">Empty</t>
        </is>
      </c>
      <c r="J99" s="13"/>
      <c r="K99" s="13" t="inlineStr">
        <is>
          <t xml:space="preserve">Lt</t>
        </is>
      </c>
      <c r="L99" s="13"/>
      <c r="M99" s="13"/>
      <c r="N99" s="13" t="inlineStr">
        <is>
          <t xml:space="preserve">Gun</t>
        </is>
      </c>
      <c r="O99" s="13" t="inlineStr">
        <is>
          <t xml:space="preserve">Run</t>
        </is>
      </c>
      <c r="P99" s="13"/>
      <c r="Q99" s="13"/>
      <c r="R99" s="13"/>
      <c r="S99" s="13"/>
      <c r="T99" s="13"/>
      <c r="U99" s="13"/>
      <c r="V99" s="13" t="inlineStr">
        <is>
          <t xml:space="preserve">T.Bigsby</t>
        </is>
      </c>
      <c r="W99" s="13" t="inlineStr">
        <is>
          <t xml:space="preserve">Penalty</t>
        </is>
      </c>
      <c r="X99" s="13"/>
      <c r="Y99" s="13"/>
      <c r="Z99" s="13"/>
      <c r="AA99" s="13"/>
      <c r="AB99" s="13"/>
      <c r="AC99" s="13"/>
      <c r="AD99" s="13"/>
      <c r="AE99" s="13" t="inlineStr">
        <is>
          <t xml:space="preserve">TEN 12. (Shotgun) T.Bigsby right guard to TEN 10 for 2 yards (A.Hooker; O.Oladejo). PENALTY on PHI-C.Jurgens, Offensive Holding, 10 yards, enforced at TEN 12 - No Play. | Set: Empty gun 3x2: L three receivers grouped near the numbers; R Mundt standing tight at the end of the line, Bigsby off the ball wide R. As snapped: Bigsby motions back into the backfield and takes the handoff | Motion: T.Bigsby / off the ball wide R / into the backfield beside QB / at snap | Conf H/M/H, Both</t>
        </is>
      </c>
    </row>
    <row r="100" spans="1:31" ht="15" customHeight="1">
      <c r="A100" s="11" t="str">
        <f>IF(B100="","","W"&amp;B100&amp;"-"&amp;TEXT(COUNTIF($B$5:B100,B100),"000"))</f>
        <v>W2-042</v>
      </c>
      <c r="B100" s="13">
        <v>2</v>
      </c>
      <c r="C100" s="13">
        <v>2</v>
      </c>
      <c r="D100" s="13" t="inlineStr">
        <is>
          <t xml:space="preserve">2</t>
        </is>
      </c>
      <c r="E100" s="13">
        <v>19</v>
      </c>
      <c r="F100" s="13" t="inlineStr">
        <is>
          <t xml:space="preserve">Opp 40-21</t>
        </is>
      </c>
      <c r="G100" s="13" t="inlineStr">
        <is>
          <t xml:space="preserve">Right</t>
        </is>
      </c>
      <c r="H100" s="13" t="inlineStr">
        <is>
          <t xml:space="preserve">11</t>
        </is>
      </c>
      <c r="I100" s="13" t="inlineStr">
        <is>
          <t xml:space="preserve">2x2 'D'</t>
        </is>
      </c>
      <c r="J100" s="13"/>
      <c r="K100" s="13" t="inlineStr">
        <is>
          <t xml:space="preserve">Rt</t>
        </is>
      </c>
      <c r="L100" s="13"/>
      <c r="M100" s="13"/>
      <c r="N100" s="13" t="inlineStr">
        <is>
          <t xml:space="preserve">Gun</t>
        </is>
      </c>
      <c r="O100" s="13"/>
      <c r="P100" s="13"/>
      <c r="Q100" s="13"/>
      <c r="R100" s="13"/>
      <c r="S100" s="13"/>
      <c r="T100" s="13"/>
      <c r="U100" s="13"/>
      <c r="V100" s="13" t="inlineStr">
        <is>
          <t xml:space="preserve">D.Smith</t>
        </is>
      </c>
      <c r="W100" s="13" t="inlineStr">
        <is>
          <t xml:space="preserve">Touchdown</t>
        </is>
      </c>
      <c r="X100" s="13">
        <v>22</v>
      </c>
      <c r="Y100" s="13"/>
      <c r="Z100" s="13"/>
      <c r="AA100" s="13"/>
      <c r="AB100" s="13"/>
      <c r="AC100" s="13"/>
      <c r="AD100" s="13"/>
      <c r="AE100" s="13" t="inlineStr">
        <is>
          <t xml:space="preserve">TEN 22. (Shotgun) J.Hurts pass deep right to D.Smith for 22 yards, TOUCHDOWN. | Set: Gun, Bigsby offset L; R: Jenkins on the line a few yds outside RT, WR wide off the ball; L: two WRs close together outside the numbers. Snapped as set | Conf H/M/H, Both</t>
        </is>
      </c>
    </row>
    <row r="101" spans="1:31" ht="15" customHeight="1">
      <c r="A101" s="11" t="str">
        <f>IF(B101="","","W"&amp;B101&amp;"-"&amp;TEXT(COUNTIF($B$5:B101,B101),"000"))</f>
        <v>W2-043</v>
      </c>
      <c r="B101" s="13">
        <v>2</v>
      </c>
      <c r="C101" s="13">
        <v>3</v>
      </c>
      <c r="D101" s="13" t="inlineStr">
        <is>
          <t xml:space="preserve">1</t>
        </is>
      </c>
      <c r="E101" s="13">
        <v>10</v>
      </c>
      <c r="F101" s="13" t="inlineStr">
        <is>
          <t xml:space="preserve">Own 21-40</t>
        </is>
      </c>
      <c r="G101" s="13" t="inlineStr">
        <is>
          <t xml:space="preserve">Left</t>
        </is>
      </c>
      <c r="H101" s="13" t="inlineStr">
        <is>
          <t xml:space="preserve">11</t>
        </is>
      </c>
      <c r="I101" s="13" t="inlineStr">
        <is>
          <t xml:space="preserve">2x2 'D'</t>
        </is>
      </c>
      <c r="J101" s="13"/>
      <c r="K101" s="13" t="inlineStr">
        <is>
          <t xml:space="preserve">Lt</t>
        </is>
      </c>
      <c r="L101" s="13"/>
      <c r="M101" s="13"/>
      <c r="N101" s="13" t="inlineStr">
        <is>
          <t xml:space="preserve">Under Center</t>
        </is>
      </c>
      <c r="O101" s="13" t="inlineStr">
        <is>
          <t xml:space="preserve">Run</t>
        </is>
      </c>
      <c r="P101" s="13"/>
      <c r="Q101" s="13"/>
      <c r="R101" s="13"/>
      <c r="S101" s="13"/>
      <c r="T101" s="13"/>
      <c r="U101" s="13"/>
      <c r="V101" s="13" t="inlineStr">
        <is>
          <t xml:space="preserve">S.Barkley</t>
        </is>
      </c>
      <c r="W101" s="13" t="inlineStr">
        <is>
          <t xml:space="preserve">Penalty</t>
        </is>
      </c>
      <c r="X101" s="13"/>
      <c r="Y101" s="13"/>
      <c r="Z101" s="13"/>
      <c r="AA101" s="13"/>
      <c r="AB101" s="13"/>
      <c r="AC101" s="13"/>
      <c r="AD101" s="13"/>
      <c r="AE101" s="13" t="inlineStr">
        <is>
          <t xml:space="preserve">PHI 40. S.Barkley right end pushed ob at PHI 41 for 1 yard (M.Robinson). ** Injury Update: PHI-S.Barkley has returned to the game. PENALTY on PHI-T.Steen, Offensive Holding, 10 yards, enforced at PHI 40 - No Play. | Set: Under center, Barkley deep I-back; L: Mundt inline, WR tight on the line just outside; R: M.Brown off the ball, WR on the line outside. As snapped: R inside receiver moving at the snap | Motion: WR (inferred Brown) / R slot / short move toward the ball / at snap | Conf H/M/H, Both</t>
        </is>
      </c>
    </row>
    <row r="102" spans="1:31" ht="15" customHeight="1">
      <c r="A102" s="11" t="str">
        <f>IF(B102="","","W"&amp;B102&amp;"-"&amp;TEXT(COUNTIF($B$5:B102,B102),"000"))</f>
        <v>W2-044</v>
      </c>
      <c r="B102" s="13">
        <v>2</v>
      </c>
      <c r="C102" s="13">
        <v>3</v>
      </c>
      <c r="D102" s="13" t="inlineStr">
        <is>
          <t xml:space="preserve">1</t>
        </is>
      </c>
      <c r="E102" s="13">
        <v>20</v>
      </c>
      <c r="F102" s="13" t="inlineStr">
        <is>
          <t xml:space="preserve">Own 21-40</t>
        </is>
      </c>
      <c r="G102" s="13" t="inlineStr">
        <is>
          <t xml:space="preserve">Left</t>
        </is>
      </c>
      <c r="H102" s="13" t="inlineStr">
        <is>
          <t xml:space="preserve">11</t>
        </is>
      </c>
      <c r="I102" s="13" t="inlineStr">
        <is>
          <t xml:space="preserve">Empty</t>
        </is>
      </c>
      <c r="J102" s="13"/>
      <c r="K102" s="13" t="inlineStr">
        <is>
          <t xml:space="preserve">Rt</t>
        </is>
      </c>
      <c r="L102" s="13"/>
      <c r="M102" s="13"/>
      <c r="N102" s="13" t="inlineStr">
        <is>
          <t xml:space="preserve">Gun</t>
        </is>
      </c>
      <c r="O102" s="13"/>
      <c r="P102" s="13"/>
      <c r="Q102" s="13"/>
      <c r="R102" s="13"/>
      <c r="S102" s="13"/>
      <c r="T102" s="13"/>
      <c r="U102" s="13"/>
      <c r="V102" s="13" t="inlineStr">
        <is>
          <t xml:space="preserve">J.Mundt</t>
        </is>
      </c>
      <c r="W102" s="13" t="inlineStr">
        <is>
          <t xml:space="preserve">Complete</t>
        </is>
      </c>
      <c r="X102" s="13">
        <v>6</v>
      </c>
      <c r="Y102" s="13"/>
      <c r="Z102" s="13"/>
      <c r="AA102" s="13"/>
      <c r="AB102" s="13"/>
      <c r="AC102" s="13"/>
      <c r="AD102" s="13"/>
      <c r="AE102" s="13" t="inlineStr">
        <is>
          <t xml:space="preserve">PHI 30. (Shotgun) J.Hurts pass short right to J.Mundt to PHI 36 for 6 yards (A.Hill; M.Harris). | Set: Empty gun 3x2: R trips (Mundt and two WRs, outside the tackle box); L Shipley standing just outside the LT, WR on the numbers. Snapped as set | Conf H/M/H, Both</t>
        </is>
      </c>
    </row>
    <row r="103" spans="1:31" ht="15" customHeight="1">
      <c r="A103" s="11" t="str">
        <f>IF(B103="","","W"&amp;B103&amp;"-"&amp;TEXT(COUNTIF($B$5:B103,B103),"000"))</f>
        <v>W2-045</v>
      </c>
      <c r="B103" s="13">
        <v>2</v>
      </c>
      <c r="C103" s="13">
        <v>3</v>
      </c>
      <c r="D103" s="13" t="inlineStr">
        <is>
          <t xml:space="preserve">2</t>
        </is>
      </c>
      <c r="E103" s="13">
        <v>14</v>
      </c>
      <c r="F103" s="13" t="inlineStr">
        <is>
          <t xml:space="preserve">Own 21-40</t>
        </is>
      </c>
      <c r="G103" s="13" t="inlineStr">
        <is>
          <t xml:space="preserve">Right</t>
        </is>
      </c>
      <c r="H103" s="13" t="inlineStr">
        <is>
          <t xml:space="preserve">11</t>
        </is>
      </c>
      <c r="I103" s="13" t="inlineStr">
        <is>
          <t xml:space="preserve">3x1 'T'</t>
        </is>
      </c>
      <c r="J103" s="13"/>
      <c r="K103" s="13" t="inlineStr">
        <is>
          <t xml:space="preserve">Rt</t>
        </is>
      </c>
      <c r="L103" s="13"/>
      <c r="M103" s="13"/>
      <c r="N103" s="13" t="inlineStr">
        <is>
          <t xml:space="preserve">Gun</t>
        </is>
      </c>
      <c r="O103" s="13" t="inlineStr">
        <is>
          <t xml:space="preserve">Scramble</t>
        </is>
      </c>
      <c r="P103" s="13"/>
      <c r="Q103" s="13"/>
      <c r="R103" s="13"/>
      <c r="S103" s="13"/>
      <c r="T103" s="13"/>
      <c r="U103" s="13"/>
      <c r="V103" s="13" t="inlineStr">
        <is>
          <t xml:space="preserve">J.Hurts</t>
        </is>
      </c>
      <c r="W103" s="13" t="inlineStr">
        <is>
          <t xml:space="preserve">Penalty</t>
        </is>
      </c>
      <c r="X103" s="13"/>
      <c r="Y103" s="13"/>
      <c r="Z103" s="13"/>
      <c r="AA103" s="13"/>
      <c r="AB103" s="13"/>
      <c r="AC103" s="13"/>
      <c r="AD103" s="13"/>
      <c r="AE103" s="13" t="inlineStr">
        <is>
          <t xml:space="preserve">PHI 36. (Shotgun) J.Hurts scrambles up the middle to PHI 42 for 6 yards (A.Hill). PENALTY on PHI-L.Johnson, Illegal Formation, 5 yards, enforced at PHI 36 - No Play. | Set: Gun, Barkley offset L; R: Jenkins on the line outside the RT, two WRs outside (one off the ball); L: one WR wide off the ball. Snapped as set | Conf H/M/H, Both</t>
        </is>
      </c>
    </row>
    <row r="104" spans="1:31" ht="15" customHeight="1">
      <c r="A104" s="11" t="str">
        <f>IF(B104="","","W"&amp;B104&amp;"-"&amp;TEXT(COUNTIF($B$5:B104,B104),"000"))</f>
        <v>W2-046</v>
      </c>
      <c r="B104" s="13">
        <v>2</v>
      </c>
      <c r="C104" s="13">
        <v>3</v>
      </c>
      <c r="D104" s="13" t="inlineStr">
        <is>
          <t xml:space="preserve">2</t>
        </is>
      </c>
      <c r="E104" s="13">
        <v>19</v>
      </c>
      <c r="F104" s="13" t="inlineStr">
        <is>
          <t xml:space="preserve">Own 21-40</t>
        </is>
      </c>
      <c r="G104" s="13" t="inlineStr">
        <is>
          <t xml:space="preserve">Right</t>
        </is>
      </c>
      <c r="H104" s="13" t="inlineStr">
        <is>
          <t xml:space="preserve">11</t>
        </is>
      </c>
      <c r="I104" s="13" t="inlineStr">
        <is>
          <t xml:space="preserve">Empty</t>
        </is>
      </c>
      <c r="J104" s="13"/>
      <c r="K104" s="13" t="inlineStr">
        <is>
          <t xml:space="preserve">Lt</t>
        </is>
      </c>
      <c r="L104" s="13"/>
      <c r="M104" s="13"/>
      <c r="N104" s="13" t="inlineStr">
        <is>
          <t xml:space="preserve">Gun</t>
        </is>
      </c>
      <c r="O104" s="13"/>
      <c r="P104" s="13"/>
      <c r="Q104" s="13"/>
      <c r="R104" s="13"/>
      <c r="S104" s="13"/>
      <c r="T104" s="13"/>
      <c r="U104" s="13"/>
      <c r="V104" s="13" t="inlineStr">
        <is>
          <t xml:space="preserve">W.Shipley</t>
        </is>
      </c>
      <c r="W104" s="13" t="inlineStr">
        <is>
          <t xml:space="preserve">Complete</t>
        </is>
      </c>
      <c r="X104" s="13">
        <v>7</v>
      </c>
      <c r="Y104" s="13"/>
      <c r="Z104" s="13"/>
      <c r="AA104" s="13"/>
      <c r="AB104" s="13"/>
      <c r="AC104" s="13"/>
      <c r="AD104" s="13"/>
      <c r="AE104" s="13" t="inlineStr">
        <is>
          <t xml:space="preserve">PHI 31. (Shotgun) J.Hurts pass short left to W.Shipley to PHI 38 for 7 yards (M.Harris; A.Hooker) [J.Simmons]. | Set: Empty gun 3x2: L Jenkins standing tight outside the LT plus two receivers outside (Shipley among them); R two WRs (slot + wide). Snapped as set | Conf H/M/H, Both</t>
        </is>
      </c>
    </row>
    <row r="105" spans="1:31" ht="15" customHeight="1">
      <c r="A105" s="11" t="str">
        <f>IF(B105="","","W"&amp;B105&amp;"-"&amp;TEXT(COUNTIF($B$5:B105,B105),"000"))</f>
        <v>W2-047</v>
      </c>
      <c r="B105" s="13">
        <v>2</v>
      </c>
      <c r="C105" s="13">
        <v>3</v>
      </c>
      <c r="D105" s="13" t="inlineStr">
        <is>
          <t xml:space="preserve">3</t>
        </is>
      </c>
      <c r="E105" s="13">
        <v>12</v>
      </c>
      <c r="F105" s="13" t="inlineStr">
        <is>
          <t xml:space="preserve">Own 21-40</t>
        </is>
      </c>
      <c r="G105" s="13" t="inlineStr">
        <is>
          <t xml:space="preserve">Left</t>
        </is>
      </c>
      <c r="H105" s="13" t="inlineStr">
        <is>
          <t xml:space="preserve">11</t>
        </is>
      </c>
      <c r="I105" s="13" t="inlineStr">
        <is>
          <t xml:space="preserve">3x1 'T'</t>
        </is>
      </c>
      <c r="J105" s="13"/>
      <c r="K105" s="13" t="inlineStr">
        <is>
          <t xml:space="preserve">Rt</t>
        </is>
      </c>
      <c r="L105" s="13"/>
      <c r="M105" s="13"/>
      <c r="N105" s="13" t="inlineStr">
        <is>
          <t xml:space="preserve">Gun</t>
        </is>
      </c>
      <c r="O105" s="13"/>
      <c r="P105" s="13"/>
      <c r="Q105" s="13"/>
      <c r="R105" s="13"/>
      <c r="S105" s="13"/>
      <c r="T105" s="13"/>
      <c r="U105" s="13"/>
      <c r="V105" s="13"/>
      <c r="W105" s="13" t="inlineStr">
        <is>
          <t xml:space="preserve">Sack</t>
        </is>
      </c>
      <c r="X105" s="13">
        <v>-11</v>
      </c>
      <c r="Y105" s="13"/>
      <c r="Z105" s="13"/>
      <c r="AA105" s="13"/>
      <c r="AB105" s="13"/>
      <c r="AC105" s="13"/>
      <c r="AD105" s="13"/>
      <c r="AE105" s="13" t="inlineStr">
        <is>
          <t xml:space="preserve">PHI 38. (Shotgun) J.Hurts sacked at PHI 27 for -11 yards (J.Martin). | Set: Gun, Shipley offset L; R: Mundt at the end of the line plus two WRs outside (one off the ball); L: one WR on the line. Snapped as set | Conf H/M/M, SL</t>
        </is>
      </c>
    </row>
    <row r="106" spans="1:31" ht="15" customHeight="1">
      <c r="A106" s="11" t="str">
        <f>IF(B106="","","W"&amp;B106&amp;"-"&amp;TEXT(COUNTIF($B$5:B106,B106),"000"))</f>
        <v>W2-048</v>
      </c>
      <c r="B106" s="13">
        <v>2</v>
      </c>
      <c r="C106" s="13">
        <v>3</v>
      </c>
      <c r="D106" s="13" t="inlineStr">
        <is>
          <t xml:space="preserve">1</t>
        </is>
      </c>
      <c r="E106" s="13">
        <v>10</v>
      </c>
      <c r="F106" s="13" t="inlineStr">
        <is>
          <t xml:space="preserve">Own 41 to Mid</t>
        </is>
      </c>
      <c r="G106" s="13" t="inlineStr">
        <is>
          <t xml:space="preserve">Right</t>
        </is>
      </c>
      <c r="H106" s="13" t="inlineStr">
        <is>
          <t xml:space="preserve">11</t>
        </is>
      </c>
      <c r="I106" s="13" t="inlineStr">
        <is>
          <t xml:space="preserve">3x1 'T'</t>
        </is>
      </c>
      <c r="J106" s="13"/>
      <c r="K106" s="13" t="inlineStr">
        <is>
          <t xml:space="preserve">Rt</t>
        </is>
      </c>
      <c r="L106" s="13"/>
      <c r="M106" s="13"/>
      <c r="N106" s="13" t="inlineStr">
        <is>
          <t xml:space="preserve">Under Center</t>
        </is>
      </c>
      <c r="O106" s="13" t="inlineStr">
        <is>
          <t xml:space="preserve">Run</t>
        </is>
      </c>
      <c r="P106" s="13"/>
      <c r="Q106" s="13"/>
      <c r="R106" s="13"/>
      <c r="S106" s="13"/>
      <c r="T106" s="13"/>
      <c r="U106" s="13"/>
      <c r="V106" s="13" t="inlineStr">
        <is>
          <t xml:space="preserve">S.Barkley</t>
        </is>
      </c>
      <c r="W106" s="13" t="inlineStr">
        <is>
          <t xml:space="preserve">Run - Gain</t>
        </is>
      </c>
      <c r="X106" s="13">
        <v>3</v>
      </c>
      <c r="Y106" s="13"/>
      <c r="Z106" s="13"/>
      <c r="AA106" s="13"/>
      <c r="AB106" s="13"/>
      <c r="AC106" s="13"/>
      <c r="AD106" s="13"/>
      <c r="AE106" s="13" t="inlineStr">
        <is>
          <t xml:space="preserve">PHI 44. S.Barkley right tackle to PHI 47 for 3 yards (A.Hill; S.Thomas). | Set: Under center, Barkley deep I-back; R: Mundt inline, Lemon on the line outside, a third receiver off the ball; L: one WR wide. Snapped as set | Conf H/M/M, Both</t>
        </is>
      </c>
    </row>
    <row r="107" spans="1:31" ht="15" customHeight="1">
      <c r="A107" s="11" t="str">
        <f>IF(B107="","","W"&amp;B107&amp;"-"&amp;TEXT(COUNTIF($B$5:B107,B107),"000"))</f>
        <v>W2-049</v>
      </c>
      <c r="B107" s="13">
        <v>2</v>
      </c>
      <c r="C107" s="13">
        <v>3</v>
      </c>
      <c r="D107" s="13" t="inlineStr">
        <is>
          <t xml:space="preserve">2</t>
        </is>
      </c>
      <c r="E107" s="13">
        <v>7</v>
      </c>
      <c r="F107" s="13" t="inlineStr">
        <is>
          <t xml:space="preserve">Own 41 to Mid</t>
        </is>
      </c>
      <c r="G107" s="13" t="inlineStr">
        <is>
          <t xml:space="preserve">Right</t>
        </is>
      </c>
      <c r="H107" s="13" t="inlineStr">
        <is>
          <t xml:space="preserve">11</t>
        </is>
      </c>
      <c r="I107" s="13" t="inlineStr">
        <is>
          <t xml:space="preserve">2x2 'D'</t>
        </is>
      </c>
      <c r="J107" s="13"/>
      <c r="K107" s="13" t="inlineStr">
        <is>
          <t xml:space="preserve">Rt</t>
        </is>
      </c>
      <c r="L107" s="13"/>
      <c r="M107" s="13"/>
      <c r="N107" s="13" t="inlineStr">
        <is>
          <t xml:space="preserve">Gun</t>
        </is>
      </c>
      <c r="O107" s="13" t="inlineStr">
        <is>
          <t xml:space="preserve">Run</t>
        </is>
      </c>
      <c r="P107" s="13"/>
      <c r="Q107" s="13"/>
      <c r="R107" s="13"/>
      <c r="S107" s="13"/>
      <c r="T107" s="13"/>
      <c r="U107" s="13"/>
      <c r="V107" s="13" t="inlineStr">
        <is>
          <t xml:space="preserve">S.Barkley</t>
        </is>
      </c>
      <c r="W107" s="13" t="inlineStr">
        <is>
          <t xml:space="preserve">Run - Gain</t>
        </is>
      </c>
      <c r="X107" s="13">
        <v>2</v>
      </c>
      <c r="Y107" s="13"/>
      <c r="Z107" s="13"/>
      <c r="AA107" s="13"/>
      <c r="AB107" s="13"/>
      <c r="AC107" s="13"/>
      <c r="AD107" s="13"/>
      <c r="AE107" s="13" t="inlineStr">
        <is>
          <t xml:space="preserve">PHI 47. (Shotgun) S.Barkley up the middle to PHI 49 for 2 yards (M.Harris). | Set: Gun, Barkley offset L; L: two WRs (numbers + wide, off the ball); R: Mundt off the ball just outside the RT (wing), WR wide. Snapped as set | Conf H/H/M, Both</t>
        </is>
      </c>
    </row>
    <row r="108" spans="1:31" ht="15" customHeight="1">
      <c r="A108" s="11" t="str">
        <f>IF(B108="","","W"&amp;B108&amp;"-"&amp;TEXT(COUNTIF($B$5:B108,B108),"000"))</f>
        <v>W2-050</v>
      </c>
      <c r="B108" s="13">
        <v>2</v>
      </c>
      <c r="C108" s="13">
        <v>3</v>
      </c>
      <c r="D108" s="13" t="inlineStr">
        <is>
          <t xml:space="preserve">3</t>
        </is>
      </c>
      <c r="E108" s="13">
        <v>5</v>
      </c>
      <c r="F108" s="13" t="inlineStr">
        <is>
          <t xml:space="preserve">Own 41 to Mid</t>
        </is>
      </c>
      <c r="G108" s="13" t="inlineStr">
        <is>
          <t xml:space="preserve">Right</t>
        </is>
      </c>
      <c r="H108" s="13" t="inlineStr">
        <is>
          <t xml:space="preserve">11</t>
        </is>
      </c>
      <c r="I108" s="13" t="inlineStr">
        <is>
          <t xml:space="preserve">2x2 'D'</t>
        </is>
      </c>
      <c r="J108" s="13"/>
      <c r="K108" s="13" t="inlineStr">
        <is>
          <t xml:space="preserve">Rt</t>
        </is>
      </c>
      <c r="L108" s="13"/>
      <c r="M108" s="13"/>
      <c r="N108" s="13" t="inlineStr">
        <is>
          <t xml:space="preserve">Gun</t>
        </is>
      </c>
      <c r="O108" s="13"/>
      <c r="P108" s="13"/>
      <c r="Q108" s="13"/>
      <c r="R108" s="13"/>
      <c r="S108" s="13"/>
      <c r="T108" s="13"/>
      <c r="U108" s="13"/>
      <c r="V108" s="13" t="inlineStr">
        <is>
          <t xml:space="preserve">S.Barkley</t>
        </is>
      </c>
      <c r="W108" s="13" t="inlineStr">
        <is>
          <t xml:space="preserve">Complete</t>
        </is>
      </c>
      <c r="X108" s="13">
        <v>11</v>
      </c>
      <c r="Y108" s="13"/>
      <c r="Z108" s="13"/>
      <c r="AA108" s="13"/>
      <c r="AB108" s="13"/>
      <c r="AC108" s="13"/>
      <c r="AD108" s="13"/>
      <c r="AE108" s="13" t="inlineStr">
        <is>
          <t xml:space="preserve">PHI 49. (No Huddle, Shotgun) J.Hurts pass short right to S.Barkley pushed ob at TEN 40 for 11 yards (C.Gray). | Set: Gun, Barkley offset R; L: two WRs off the ball (slot + numbers); R: Mundt standing on the line ~2 yds outside the RT, Wicks wide. Snapped as set | Conf H/H/M, Both</t>
        </is>
      </c>
    </row>
    <row r="109" spans="1:31" ht="15" customHeight="1">
      <c r="A109" s="11" t="str">
        <f>IF(B109="","","W"&amp;B109&amp;"-"&amp;TEXT(COUNTIF($B$5:B109,B109),"000"))</f>
        <v>W2-051</v>
      </c>
      <c r="B109" s="13">
        <v>2</v>
      </c>
      <c r="C109" s="13">
        <v>3</v>
      </c>
      <c r="D109" s="13" t="inlineStr">
        <is>
          <t xml:space="preserve">1</t>
        </is>
      </c>
      <c r="E109" s="13">
        <v>10</v>
      </c>
      <c r="F109" s="13" t="inlineStr">
        <is>
          <t xml:space="preserve">Opp 40-21</t>
        </is>
      </c>
      <c r="G109" s="13" t="inlineStr">
        <is>
          <t xml:space="preserve">Right</t>
        </is>
      </c>
      <c r="H109" s="13" t="inlineStr">
        <is>
          <t xml:space="preserve">11</t>
        </is>
      </c>
      <c r="I109" s="13" t="inlineStr">
        <is>
          <t xml:space="preserve">2x2 'D'</t>
        </is>
      </c>
      <c r="J109" s="13"/>
      <c r="K109" s="13" t="inlineStr">
        <is>
          <t xml:space="preserve">Lt</t>
        </is>
      </c>
      <c r="L109" s="13"/>
      <c r="M109" s="13"/>
      <c r="N109" s="13" t="inlineStr">
        <is>
          <t xml:space="preserve">Under Center</t>
        </is>
      </c>
      <c r="O109" s="13"/>
      <c r="P109" s="13"/>
      <c r="Q109" s="13"/>
      <c r="R109" s="13"/>
      <c r="S109" s="13"/>
      <c r="T109" s="13"/>
      <c r="U109" s="13"/>
      <c r="V109" s="13" t="inlineStr">
        <is>
          <t xml:space="preserve">D.Smith</t>
        </is>
      </c>
      <c r="W109" s="13" t="inlineStr">
        <is>
          <t xml:space="preserve">Incomplete</t>
        </is>
      </c>
      <c r="X109" s="13">
        <v>0</v>
      </c>
      <c r="Y109" s="13"/>
      <c r="Z109" s="13"/>
      <c r="AA109" s="13"/>
      <c r="AB109" s="13"/>
      <c r="AC109" s="13"/>
      <c r="AD109" s="13"/>
      <c r="AE109" s="13" t="inlineStr">
        <is>
          <t xml:space="preserve">TEN 40. (No Huddle) J.Hurts pass incomplete deep right to D.Smith. | Set: Under center, Barkley deep I-back; L: Mundt standing on the line just outside the LT, WR wide off the ball; R: Lemon on the line just outside the RT, WR wide. Snapped as set | Conf H/H/H, Both</t>
        </is>
      </c>
    </row>
    <row r="110" spans="1:31" ht="15" customHeight="1">
      <c r="A110" s="11" t="str">
        <f>IF(B110="","","W"&amp;B110&amp;"-"&amp;TEXT(COUNTIF($B$5:B110,B110),"000"))</f>
        <v>W2-052</v>
      </c>
      <c r="B110" s="13">
        <v>2</v>
      </c>
      <c r="C110" s="13">
        <v>3</v>
      </c>
      <c r="D110" s="13" t="inlineStr">
        <is>
          <t xml:space="preserve">2</t>
        </is>
      </c>
      <c r="E110" s="13">
        <v>10</v>
      </c>
      <c r="F110" s="13" t="inlineStr">
        <is>
          <t xml:space="preserve">Opp 40-21</t>
        </is>
      </c>
      <c r="G110" s="13" t="inlineStr">
        <is>
          <t xml:space="preserve">Right</t>
        </is>
      </c>
      <c r="H110" s="13" t="inlineStr">
        <is>
          <t xml:space="preserve">11</t>
        </is>
      </c>
      <c r="I110" s="13" t="inlineStr">
        <is>
          <t xml:space="preserve">2x2 'D'</t>
        </is>
      </c>
      <c r="J110" s="13"/>
      <c r="K110" s="13" t="inlineStr">
        <is>
          <t xml:space="preserve">Rt</t>
        </is>
      </c>
      <c r="L110" s="13"/>
      <c r="M110" s="13"/>
      <c r="N110" s="13" t="inlineStr">
        <is>
          <t xml:space="preserve">Under Center</t>
        </is>
      </c>
      <c r="O110" s="13"/>
      <c r="P110" s="13"/>
      <c r="Q110" s="13"/>
      <c r="R110" s="13"/>
      <c r="S110" s="13"/>
      <c r="T110" s="13"/>
      <c r="U110" s="13"/>
      <c r="V110" s="13" t="inlineStr">
        <is>
          <t xml:space="preserve">S.Barkley</t>
        </is>
      </c>
      <c r="W110" s="13" t="inlineStr">
        <is>
          <t xml:space="preserve">Incomplete</t>
        </is>
      </c>
      <c r="X110" s="13">
        <v>0</v>
      </c>
      <c r="Y110" s="13"/>
      <c r="Z110" s="13"/>
      <c r="AA110" s="13"/>
      <c r="AB110" s="13"/>
      <c r="AC110" s="13"/>
      <c r="AD110" s="13"/>
      <c r="AE110" s="13" t="inlineStr">
        <is>
          <t xml:space="preserve">TEN 40. J.Hurts pass incomplete short left to S.Barkley. | Set: Under center, Barkley deep I-back; R: Jenkins inline, WR wide; L: Lemon on the numbers, WR wide off the ball. Snapped as set | Conf H/H/H, Both</t>
        </is>
      </c>
    </row>
    <row r="111" spans="1:31" ht="15" customHeight="1">
      <c r="A111" s="11" t="str">
        <f>IF(B111="","","W"&amp;B111&amp;"-"&amp;TEXT(COUNTIF($B$5:B111,B111),"000"))</f>
        <v>W2-053</v>
      </c>
      <c r="B111" s="13">
        <v>2</v>
      </c>
      <c r="C111" s="13">
        <v>3</v>
      </c>
      <c r="D111" s="13" t="inlineStr">
        <is>
          <t xml:space="preserve">3</t>
        </is>
      </c>
      <c r="E111" s="13">
        <v>10</v>
      </c>
      <c r="F111" s="13" t="inlineStr">
        <is>
          <t xml:space="preserve">Opp 40-21</t>
        </is>
      </c>
      <c r="G111" s="13" t="inlineStr">
        <is>
          <t xml:space="preserve">Right</t>
        </is>
      </c>
      <c r="H111" s="13" t="inlineStr">
        <is>
          <t xml:space="preserve">11</t>
        </is>
      </c>
      <c r="I111" s="13" t="inlineStr">
        <is>
          <t xml:space="preserve">Bunch 'B'</t>
        </is>
      </c>
      <c r="J111" s="13"/>
      <c r="K111" s="13" t="inlineStr">
        <is>
          <t xml:space="preserve">Lt</t>
        </is>
      </c>
      <c r="L111" s="13"/>
      <c r="M111" s="13"/>
      <c r="N111" s="13" t="inlineStr">
        <is>
          <t xml:space="preserve">Gun</t>
        </is>
      </c>
      <c r="O111" s="13"/>
      <c r="P111" s="13"/>
      <c r="Q111" s="13"/>
      <c r="R111" s="13"/>
      <c r="S111" s="13"/>
      <c r="T111" s="13"/>
      <c r="U111" s="13"/>
      <c r="V111" s="13"/>
      <c r="W111" s="13" t="inlineStr">
        <is>
          <t xml:space="preserve">Incomplete</t>
        </is>
      </c>
      <c r="X111" s="13">
        <v>0</v>
      </c>
      <c r="Y111" s="13"/>
      <c r="Z111" s="13"/>
      <c r="AA111" s="13"/>
      <c r="AB111" s="13"/>
      <c r="AC111" s="13"/>
      <c r="AD111" s="13"/>
      <c r="AE111" s="13" t="inlineStr">
        <is>
          <t xml:space="preserve">TEN 40. (Shotgun) J.Hurts pass incomplete short left. | Set: Gun, Shipley offset R; L: three-man bunch (Mundt and two WRs) outside the LT; R: one WR wide. Snapped as set | Conf H/M/H, Both</t>
        </is>
      </c>
    </row>
    <row r="112" spans="1:31" ht="15" customHeight="1">
      <c r="A112" s="11" t="str">
        <f>IF(B112="","","W"&amp;B112&amp;"-"&amp;TEXT(COUNTIF($B$5:B112,B112),"000"))</f>
        <v>W2-054</v>
      </c>
      <c r="B112" s="13">
        <v>2</v>
      </c>
      <c r="C112" s="13">
        <v>3</v>
      </c>
      <c r="D112" s="13" t="inlineStr">
        <is>
          <t xml:space="preserve">1</t>
        </is>
      </c>
      <c r="E112" s="13">
        <v>10</v>
      </c>
      <c r="F112" s="13" t="inlineStr">
        <is>
          <t xml:space="preserve">Own 21-40</t>
        </is>
      </c>
      <c r="G112" s="13" t="inlineStr">
        <is>
          <t xml:space="preserve">Right</t>
        </is>
      </c>
      <c r="H112" s="13" t="inlineStr">
        <is>
          <t xml:space="preserve">11</t>
        </is>
      </c>
      <c r="I112" s="13" t="inlineStr">
        <is>
          <t xml:space="preserve">3x1 'T'</t>
        </is>
      </c>
      <c r="J112" s="13"/>
      <c r="K112" s="13" t="inlineStr">
        <is>
          <t xml:space="preserve">Rt</t>
        </is>
      </c>
      <c r="L112" s="13"/>
      <c r="M112" s="13"/>
      <c r="N112" s="13" t="inlineStr">
        <is>
          <t xml:space="preserve">Under Center</t>
        </is>
      </c>
      <c r="O112" s="13"/>
      <c r="P112" s="13"/>
      <c r="Q112" s="13"/>
      <c r="R112" s="13"/>
      <c r="S112" s="13"/>
      <c r="T112" s="13"/>
      <c r="U112" s="13"/>
      <c r="V112" s="13" t="inlineStr">
        <is>
          <t xml:space="preserve">J.Mundt</t>
        </is>
      </c>
      <c r="W112" s="13" t="inlineStr">
        <is>
          <t xml:space="preserve">Complete</t>
        </is>
      </c>
      <c r="X112" s="13">
        <v>2</v>
      </c>
      <c r="Y112" s="13"/>
      <c r="Z112" s="13"/>
      <c r="AA112" s="13"/>
      <c r="AB112" s="13"/>
      <c r="AC112" s="13"/>
      <c r="AD112" s="13"/>
      <c r="AE112" s="13" t="inlineStr">
        <is>
          <t xml:space="preserve">PHI 35. J.Hurts pass short right to J.Mundt to PHI 37 for 2 yards (C.Barton). | Set: Under center, Barkley deep I-back; R: Mundt inline, WR off the ball, WR wide; L: Lemon wide. Snapped as set | Conf H/H/H, Both</t>
        </is>
      </c>
    </row>
    <row r="113" spans="1:31" ht="15" customHeight="1">
      <c r="A113" s="11" t="str">
        <f>IF(B113="","","W"&amp;B113&amp;"-"&amp;TEXT(COUNTIF($B$5:B113,B113),"000"))</f>
        <v>W2-055</v>
      </c>
      <c r="B113" s="13">
        <v>2</v>
      </c>
      <c r="C113" s="13">
        <v>3</v>
      </c>
      <c r="D113" s="13" t="inlineStr">
        <is>
          <t xml:space="preserve">2</t>
        </is>
      </c>
      <c r="E113" s="13">
        <v>8</v>
      </c>
      <c r="F113" s="13" t="inlineStr">
        <is>
          <t xml:space="preserve">Own 21-40</t>
        </is>
      </c>
      <c r="G113" s="13" t="inlineStr">
        <is>
          <t xml:space="preserve">Right</t>
        </is>
      </c>
      <c r="H113" s="13" t="inlineStr">
        <is>
          <t xml:space="preserve">11</t>
        </is>
      </c>
      <c r="I113" s="13" t="inlineStr">
        <is>
          <t xml:space="preserve">2x2 'D'</t>
        </is>
      </c>
      <c r="J113" s="13"/>
      <c r="K113" s="13" t="inlineStr">
        <is>
          <t xml:space="preserve">Lt</t>
        </is>
      </c>
      <c r="L113" s="13"/>
      <c r="M113" s="13"/>
      <c r="N113" s="13" t="inlineStr">
        <is>
          <t xml:space="preserve">Under Center</t>
        </is>
      </c>
      <c r="O113" s="13"/>
      <c r="P113" s="13"/>
      <c r="Q113" s="13"/>
      <c r="R113" s="13"/>
      <c r="S113" s="13"/>
      <c r="T113" s="13"/>
      <c r="U113" s="13"/>
      <c r="V113" s="13" t="inlineStr">
        <is>
          <t xml:space="preserve">D.Cooper</t>
        </is>
      </c>
      <c r="W113" s="13" t="inlineStr">
        <is>
          <t xml:space="preserve">Incomplete</t>
        </is>
      </c>
      <c r="X113" s="13">
        <v>0</v>
      </c>
      <c r="Y113" s="13"/>
      <c r="Z113" s="13"/>
      <c r="AA113" s="13"/>
      <c r="AB113" s="13"/>
      <c r="AC113" s="13"/>
      <c r="AD113" s="13"/>
      <c r="AE113" s="13" t="inlineStr">
        <is>
          <t xml:space="preserve">PHI 37. J.Hurts pass incomplete deep right to D.Cooper. | Set: Under center, Barkley deep I-back; L: Mundt tight at the end of the line, WR wide; R: Lemon on the line ~3 yds outside the RT, WR off the ball outside him. Snapped as set | Conf H/M/H, Both</t>
        </is>
      </c>
    </row>
    <row r="114" spans="1:31" ht="15" customHeight="1">
      <c r="A114" s="11" t="str">
        <f>IF(B114="","","W"&amp;B114&amp;"-"&amp;TEXT(COUNTIF($B$5:B114,B114),"000"))</f>
        <v>W2-056</v>
      </c>
      <c r="B114" s="13">
        <v>2</v>
      </c>
      <c r="C114" s="13">
        <v>3</v>
      </c>
      <c r="D114" s="13" t="inlineStr">
        <is>
          <t xml:space="preserve">3</t>
        </is>
      </c>
      <c r="E114" s="13">
        <v>8</v>
      </c>
      <c r="F114" s="13" t="inlineStr">
        <is>
          <t xml:space="preserve">Own 21-40</t>
        </is>
      </c>
      <c r="G114" s="13" t="inlineStr">
        <is>
          <t xml:space="preserve">Right</t>
        </is>
      </c>
      <c r="H114" s="13" t="inlineStr">
        <is>
          <t xml:space="preserve">11</t>
        </is>
      </c>
      <c r="I114" s="13" t="inlineStr">
        <is>
          <t xml:space="preserve">2x2 'D'</t>
        </is>
      </c>
      <c r="J114" s="13"/>
      <c r="K114" s="13" t="inlineStr">
        <is>
          <t xml:space="preserve">Lt</t>
        </is>
      </c>
      <c r="L114" s="13"/>
      <c r="M114" s="13"/>
      <c r="N114" s="13" t="inlineStr">
        <is>
          <t xml:space="preserve">Gun</t>
        </is>
      </c>
      <c r="O114" s="13"/>
      <c r="P114" s="13"/>
      <c r="Q114" s="13"/>
      <c r="R114" s="13"/>
      <c r="S114" s="13"/>
      <c r="T114" s="13"/>
      <c r="U114" s="13"/>
      <c r="V114" s="13" t="inlineStr">
        <is>
          <t xml:space="preserve">J.Mundt</t>
        </is>
      </c>
      <c r="W114" s="13" t="inlineStr">
        <is>
          <t xml:space="preserve">Incomplete</t>
        </is>
      </c>
      <c r="X114" s="13">
        <v>0</v>
      </c>
      <c r="Y114" s="13"/>
      <c r="Z114" s="13"/>
      <c r="AA114" s="13"/>
      <c r="AB114" s="13"/>
      <c r="AC114" s="13"/>
      <c r="AD114" s="13"/>
      <c r="AE114" s="13" t="inlineStr">
        <is>
          <t xml:space="preserve">PHI 37. (Shotgun) J.Hurts pass incomplete short right to J.Mundt. | Set: Gun, Barkley offset L; L: two receivers close together off the ball near the numbers; R: one on the line, one off the ball wide. No inline TE (Mundt detached). Snapped as set | Str by field side | Conf H/M/H, Both</t>
        </is>
      </c>
    </row>
    <row r="115" spans="1:31" ht="15" customHeight="1">
      <c r="A115" s="11" t="str">
        <f>IF(B115="","","W"&amp;B115&amp;"-"&amp;TEXT(COUNTIF($B$5:B115,B115),"000"))</f>
        <v>W2-057</v>
      </c>
      <c r="B115" s="13">
        <v>2</v>
      </c>
      <c r="C115" s="13">
        <v>4</v>
      </c>
      <c r="D115" s="13" t="inlineStr">
        <is>
          <t xml:space="preserve">1</t>
        </is>
      </c>
      <c r="E115" s="13">
        <v>10</v>
      </c>
      <c r="F115" s="13" t="inlineStr">
        <is>
          <t xml:space="preserve">Own 11-20</t>
        </is>
      </c>
      <c r="G115" s="13" t="inlineStr">
        <is>
          <t xml:space="preserve">Left</t>
        </is>
      </c>
      <c r="H115" s="13" t="inlineStr">
        <is>
          <t xml:space="preserve">11</t>
        </is>
      </c>
      <c r="I115" s="13" t="inlineStr">
        <is>
          <t xml:space="preserve">3x1 'T'</t>
        </is>
      </c>
      <c r="J115" s="13"/>
      <c r="K115" s="13" t="inlineStr">
        <is>
          <t xml:space="preserve">Rt</t>
        </is>
      </c>
      <c r="L115" s="13"/>
      <c r="M115" s="13"/>
      <c r="N115" s="13" t="inlineStr">
        <is>
          <t xml:space="preserve">Gun</t>
        </is>
      </c>
      <c r="O115" s="13" t="inlineStr">
        <is>
          <t xml:space="preserve">Run</t>
        </is>
      </c>
      <c r="P115" s="13"/>
      <c r="Q115" s="13"/>
      <c r="R115" s="13"/>
      <c r="S115" s="13"/>
      <c r="T115" s="13"/>
      <c r="U115" s="13"/>
      <c r="V115" s="13" t="inlineStr">
        <is>
          <t xml:space="preserve">S.Barkley</t>
        </is>
      </c>
      <c r="W115" s="13" t="inlineStr">
        <is>
          <t xml:space="preserve">Run - Gain</t>
        </is>
      </c>
      <c r="X115" s="13">
        <v>4</v>
      </c>
      <c r="Y115" s="13"/>
      <c r="Z115" s="13"/>
      <c r="AA115" s="13"/>
      <c r="AB115" s="13"/>
      <c r="AC115" s="13"/>
      <c r="AD115" s="13"/>
      <c r="AE115" s="13" t="inlineStr">
        <is>
          <t xml:space="preserve">PHI 20. (Shotgun) S.Barkley up the middle to PHI 24 for 4 yards (A.Hill). | Set: Gun, Barkley offset R; R: Lemon as a wing off the hip of the RT, two WRs outside; L: Mundt inline alone. As snapped: Lemon motions across the backfield toward L | Motion: M.Lemon / wing R / across backfield toward L / at snap | Conf H/M/M, Both</t>
        </is>
      </c>
    </row>
    <row r="116" spans="1:31" ht="15" customHeight="1">
      <c r="A116" s="11" t="str">
        <f>IF(B116="","","W"&amp;B116&amp;"-"&amp;TEXT(COUNTIF($B$5:B116,B116),"000"))</f>
        <v>W2-058</v>
      </c>
      <c r="B116" s="13">
        <v>2</v>
      </c>
      <c r="C116" s="13">
        <v>4</v>
      </c>
      <c r="D116" s="13" t="inlineStr">
        <is>
          <t xml:space="preserve">2</t>
        </is>
      </c>
      <c r="E116" s="13">
        <v>6</v>
      </c>
      <c r="F116" s="13" t="inlineStr">
        <is>
          <t xml:space="preserve">Own 21-40</t>
        </is>
      </c>
      <c r="G116" s="13" t="inlineStr">
        <is>
          <t xml:space="preserve">Left</t>
        </is>
      </c>
      <c r="H116" s="13" t="inlineStr">
        <is>
          <t xml:space="preserve">11</t>
        </is>
      </c>
      <c r="I116" s="13" t="inlineStr">
        <is>
          <t xml:space="preserve">2x2 'D'</t>
        </is>
      </c>
      <c r="J116" s="13"/>
      <c r="K116" s="13" t="inlineStr">
        <is>
          <t xml:space="preserve">Lt</t>
        </is>
      </c>
      <c r="L116" s="13"/>
      <c r="M116" s="13"/>
      <c r="N116" s="13" t="inlineStr">
        <is>
          <t xml:space="preserve">Pistol</t>
        </is>
      </c>
      <c r="O116" s="13" t="inlineStr">
        <is>
          <t xml:space="preserve">Run</t>
        </is>
      </c>
      <c r="P116" s="13"/>
      <c r="Q116" s="13"/>
      <c r="R116" s="13"/>
      <c r="S116" s="13"/>
      <c r="T116" s="13"/>
      <c r="U116" s="13"/>
      <c r="V116" s="13" t="inlineStr">
        <is>
          <t xml:space="preserve">T.Bigsby</t>
        </is>
      </c>
      <c r="W116" s="13" t="inlineStr">
        <is>
          <t xml:space="preserve">Run - Gain</t>
        </is>
      </c>
      <c r="X116" s="13">
        <v>5</v>
      </c>
      <c r="Y116" s="13"/>
      <c r="Z116" s="13"/>
      <c r="AA116" s="13"/>
      <c r="AB116" s="13"/>
      <c r="AC116" s="13"/>
      <c r="AD116" s="13"/>
      <c r="AE116" s="13" t="inlineStr">
        <is>
          <t xml:space="preserve">PHI 24. (Shotgun) T.Bigsby left tackle to PHI 29 for 5 yards (J.Johnson). | Set: Pistol (QB at gun depth, Bigsby directly behind); R: Lemon on the line just outside the RT, WR wide; L: end man split ~2 yds from the LT (inferred Mundt), WR wide. Snapped as set | Conf H/M/H, Both</t>
        </is>
      </c>
    </row>
    <row r="117" spans="1:31" ht="15" customHeight="1">
      <c r="A117" s="11" t="str">
        <f>IF(B117="","","W"&amp;B117&amp;"-"&amp;TEXT(COUNTIF($B$5:B117,B117),"000"))</f>
        <v>W2-059</v>
      </c>
      <c r="B117" s="13">
        <v>2</v>
      </c>
      <c r="C117" s="13">
        <v>4</v>
      </c>
      <c r="D117" s="13" t="inlineStr">
        <is>
          <t xml:space="preserve">3</t>
        </is>
      </c>
      <c r="E117" s="13">
        <v>1</v>
      </c>
      <c r="F117" s="13" t="inlineStr">
        <is>
          <t xml:space="preserve">Own 21-40</t>
        </is>
      </c>
      <c r="G117" s="13" t="inlineStr">
        <is>
          <t xml:space="preserve">Left</t>
        </is>
      </c>
      <c r="H117" s="13" t="inlineStr">
        <is>
          <t xml:space="preserve">12</t>
        </is>
      </c>
      <c r="I117" s="13" t="inlineStr">
        <is>
          <t xml:space="preserve">Big</t>
        </is>
      </c>
      <c r="J117" s="13"/>
      <c r="K117" s="13" t="inlineStr">
        <is>
          <t xml:space="preserve">Rt</t>
        </is>
      </c>
      <c r="L117" s="13"/>
      <c r="M117" s="13"/>
      <c r="N117" s="13" t="inlineStr">
        <is>
          <t xml:space="preserve">Under Center</t>
        </is>
      </c>
      <c r="O117" s="13" t="inlineStr">
        <is>
          <t xml:space="preserve">QB Run</t>
        </is>
      </c>
      <c r="P117" s="13"/>
      <c r="Q117" s="13"/>
      <c r="R117" s="13"/>
      <c r="S117" s="13"/>
      <c r="T117" s="13"/>
      <c r="U117" s="13"/>
      <c r="V117" s="13" t="inlineStr">
        <is>
          <t xml:space="preserve">J.Hurts</t>
        </is>
      </c>
      <c r="W117" s="13" t="inlineStr">
        <is>
          <t xml:space="preserve">Run - Gain</t>
        </is>
      </c>
      <c r="X117" s="13">
        <v>2</v>
      </c>
      <c r="Y117" s="13"/>
      <c r="Z117" s="13"/>
      <c r="AA117" s="13"/>
      <c r="AB117" s="13"/>
      <c r="AC117" s="13"/>
      <c r="AD117" s="13"/>
      <c r="AE117" s="13" t="inlineStr">
        <is>
          <t xml:space="preserve">PHI 29. J.Hurts up the middle to PHI 31 for 2 yards (J.Simmons; A.Hill). | Set: Under center, Bigsby deep I-back; compact short-yardage set. R: Mundt off the ball behind the RT (wing), Smith on the line ~2 yds outside, Wicks off the ball beside him; L: Jenkins inline. Snapped as set | Conf H/M/H, Both</t>
        </is>
      </c>
    </row>
    <row r="118" spans="1:31" ht="15" customHeight="1">
      <c r="A118" s="11" t="str">
        <f>IF(B118="","","W"&amp;B118&amp;"-"&amp;TEXT(COUNTIF($B$5:B118,B118),"000"))</f>
        <v>W2-060</v>
      </c>
      <c r="B118" s="13">
        <v>2</v>
      </c>
      <c r="C118" s="13">
        <v>4</v>
      </c>
      <c r="D118" s="13" t="inlineStr">
        <is>
          <t xml:space="preserve">1</t>
        </is>
      </c>
      <c r="E118" s="13">
        <v>10</v>
      </c>
      <c r="F118" s="13" t="inlineStr">
        <is>
          <t xml:space="preserve">Own 21-40</t>
        </is>
      </c>
      <c r="G118" s="13" t="inlineStr">
        <is>
          <t xml:space="preserve">Left</t>
        </is>
      </c>
      <c r="H118" s="13" t="inlineStr">
        <is>
          <t xml:space="preserve">12</t>
        </is>
      </c>
      <c r="I118" s="13" t="inlineStr">
        <is>
          <t xml:space="preserve">2x2 'D'</t>
        </is>
      </c>
      <c r="J118" s="13"/>
      <c r="K118" s="13" t="inlineStr">
        <is>
          <t xml:space="preserve">Rt</t>
        </is>
      </c>
      <c r="L118" s="13"/>
      <c r="M118" s="13"/>
      <c r="N118" s="13" t="inlineStr">
        <is>
          <t xml:space="preserve">Under Center</t>
        </is>
      </c>
      <c r="O118" s="13" t="inlineStr">
        <is>
          <t xml:space="preserve">Run</t>
        </is>
      </c>
      <c r="P118" s="13"/>
      <c r="Q118" s="13"/>
      <c r="R118" s="13"/>
      <c r="S118" s="13"/>
      <c r="T118" s="13"/>
      <c r="U118" s="13"/>
      <c r="V118" s="13" t="inlineStr">
        <is>
          <t xml:space="preserve">T.Bigsby</t>
        </is>
      </c>
      <c r="W118" s="13" t="inlineStr">
        <is>
          <t xml:space="preserve">Run - Loss</t>
        </is>
      </c>
      <c r="X118" s="13">
        <v>-2</v>
      </c>
      <c r="Y118" s="13"/>
      <c r="Z118" s="13"/>
      <c r="AA118" s="13"/>
      <c r="AB118" s="13"/>
      <c r="AC118" s="13"/>
      <c r="AD118" s="13"/>
      <c r="AE118" s="13" t="inlineStr">
        <is>
          <t xml:space="preserve">PHI 31. T.Bigsby right guard to PHI 29 for -2 yards (M.Robinson). | Set: Under center, Bigsby deep I-back; R: Mundt standing tight outside the RT, WR wide; L: Jenkins at the end of the line, WR off the ball outside. Snapped as set | Conf H/M/M, Both</t>
        </is>
      </c>
    </row>
    <row r="119" spans="1:31" ht="15" customHeight="1">
      <c r="A119" s="11" t="str">
        <f>IF(B119="","","W"&amp;B119&amp;"-"&amp;TEXT(COUNTIF($B$5:B119,B119),"000"))</f>
        <v>W2-061</v>
      </c>
      <c r="B119" s="13">
        <v>2</v>
      </c>
      <c r="C119" s="13">
        <v>4</v>
      </c>
      <c r="D119" s="13" t="inlineStr">
        <is>
          <t xml:space="preserve">2</t>
        </is>
      </c>
      <c r="E119" s="13">
        <v>12</v>
      </c>
      <c r="F119" s="13" t="inlineStr">
        <is>
          <t xml:space="preserve">Own 21-40</t>
        </is>
      </c>
      <c r="G119" s="13" t="inlineStr">
        <is>
          <t xml:space="preserve">Left</t>
        </is>
      </c>
      <c r="H119" s="13" t="inlineStr">
        <is>
          <t xml:space="preserve">11</t>
        </is>
      </c>
      <c r="I119" s="13" t="inlineStr">
        <is>
          <t xml:space="preserve">Empty</t>
        </is>
      </c>
      <c r="J119" s="13"/>
      <c r="K119" s="13" t="inlineStr">
        <is>
          <t xml:space="preserve">Lt</t>
        </is>
      </c>
      <c r="L119" s="13"/>
      <c r="M119" s="13"/>
      <c r="N119" s="13" t="inlineStr">
        <is>
          <t xml:space="preserve">Gun</t>
        </is>
      </c>
      <c r="O119" s="13"/>
      <c r="P119" s="13"/>
      <c r="Q119" s="13"/>
      <c r="R119" s="13"/>
      <c r="S119" s="13"/>
      <c r="T119" s="13"/>
      <c r="U119" s="13"/>
      <c r="V119" s="13"/>
      <c r="W119" s="13" t="inlineStr">
        <is>
          <t xml:space="preserve">Sack</t>
        </is>
      </c>
      <c r="X119" s="13">
        <v>0</v>
      </c>
      <c r="Y119" s="13"/>
      <c r="Z119" s="13"/>
      <c r="AA119" s="13"/>
      <c r="AB119" s="13"/>
      <c r="AC119" s="13"/>
      <c r="AD119" s="13"/>
      <c r="AE119" s="13" t="inlineStr">
        <is>
          <t xml:space="preserve">PHI 29. (Shotgun) J.Hurts sacked ob at PHI 29 for 0 yards (J.Franklin-Myers). | Set: Empty gun, compressed: R Jenkins off the ball plus a receiver on the line, both tight to the RT; L receivers tight to the LT with one slightly wider; no back beside Hurts. Snapped as set after a pre-snap reshuffle | Conf H/L/M, Both</t>
        </is>
      </c>
    </row>
    <row r="120" spans="1:31" ht="15" customHeight="1">
      <c r="A120" s="11" t="str">
        <f>IF(B120="","","W"&amp;B120&amp;"-"&amp;TEXT(COUNTIF($B$5:B120,B120),"000"))</f>
        <v>W2-062</v>
      </c>
      <c r="B120" s="13">
        <v>2</v>
      </c>
      <c r="C120" s="13">
        <v>4</v>
      </c>
      <c r="D120" s="13" t="inlineStr">
        <is>
          <t xml:space="preserve">3</t>
        </is>
      </c>
      <c r="E120" s="13">
        <v>12</v>
      </c>
      <c r="F120" s="13" t="inlineStr">
        <is>
          <t xml:space="preserve">Own 21-40</t>
        </is>
      </c>
      <c r="G120" s="13" t="inlineStr">
        <is>
          <t xml:space="preserve">Right</t>
        </is>
      </c>
      <c r="H120" s="13" t="inlineStr">
        <is>
          <t xml:space="preserve">11</t>
        </is>
      </c>
      <c r="I120" s="13" t="inlineStr">
        <is>
          <t xml:space="preserve">3x1 'T'</t>
        </is>
      </c>
      <c r="J120" s="13"/>
      <c r="K120" s="13" t="inlineStr">
        <is>
          <t xml:space="preserve">Lt</t>
        </is>
      </c>
      <c r="L120" s="13"/>
      <c r="M120" s="13"/>
      <c r="N120" s="13" t="inlineStr">
        <is>
          <t xml:space="preserve">Gun</t>
        </is>
      </c>
      <c r="O120" s="13"/>
      <c r="P120" s="13"/>
      <c r="Q120" s="13"/>
      <c r="R120" s="13"/>
      <c r="S120" s="13"/>
      <c r="T120" s="13"/>
      <c r="U120" s="13"/>
      <c r="V120" s="13" t="inlineStr">
        <is>
          <t xml:space="preserve">D.Smith</t>
        </is>
      </c>
      <c r="W120" s="13" t="inlineStr">
        <is>
          <t xml:space="preserve">Complete</t>
        </is>
      </c>
      <c r="X120" s="13">
        <v>13</v>
      </c>
      <c r="Y120" s="13"/>
      <c r="Z120" s="13"/>
      <c r="AA120" s="13"/>
      <c r="AB120" s="13"/>
      <c r="AC120" s="13"/>
      <c r="AD120" s="13"/>
      <c r="AE120" s="13" t="inlineStr">
        <is>
          <t xml:space="preserve">PHI 29. (Shotgun) J.Hurts pass short right to D.Smith to PHI 42 for 13 yards (A.Taylor). | Set: Gun, Shipley offset R; L: Mundt standing on the line just outside the LT, slot off the ball, WR wide; R: one WR wide off the ball. Snapped as set | Conf H/M/H, Both</t>
        </is>
      </c>
    </row>
    <row r="121" spans="1:31" ht="15" customHeight="1">
      <c r="A121" s="11" t="str">
        <f>IF(B121="","","W"&amp;B121&amp;"-"&amp;TEXT(COUNTIF($B$5:B121,B121),"000"))</f>
        <v>W2-063</v>
      </c>
      <c r="B121" s="13">
        <v>2</v>
      </c>
      <c r="C121" s="13">
        <v>4</v>
      </c>
      <c r="D121" s="13" t="inlineStr">
        <is>
          <t xml:space="preserve">1</t>
        </is>
      </c>
      <c r="E121" s="13">
        <v>10</v>
      </c>
      <c r="F121" s="13" t="inlineStr">
        <is>
          <t xml:space="preserve">Own 41 to Mid</t>
        </is>
      </c>
      <c r="G121" s="13" t="inlineStr">
        <is>
          <t xml:space="preserve">Right</t>
        </is>
      </c>
      <c r="H121" s="13" t="inlineStr">
        <is>
          <t xml:space="preserve">11</t>
        </is>
      </c>
      <c r="I121" s="13" t="inlineStr">
        <is>
          <t xml:space="preserve">3x1 'T'</t>
        </is>
      </c>
      <c r="J121" s="13"/>
      <c r="K121" s="13" t="inlineStr">
        <is>
          <t xml:space="preserve">Lt</t>
        </is>
      </c>
      <c r="L121" s="13"/>
      <c r="M121" s="13"/>
      <c r="N121" s="13" t="inlineStr">
        <is>
          <t xml:space="preserve">Under Center</t>
        </is>
      </c>
      <c r="O121" s="13" t="inlineStr">
        <is>
          <t xml:space="preserve">Run</t>
        </is>
      </c>
      <c r="P121" s="13"/>
      <c r="Q121" s="13"/>
      <c r="R121" s="13"/>
      <c r="S121" s="13"/>
      <c r="T121" s="13"/>
      <c r="U121" s="13"/>
      <c r="V121" s="13" t="inlineStr">
        <is>
          <t xml:space="preserve">M.Brown</t>
        </is>
      </c>
      <c r="W121" s="13" t="inlineStr">
        <is>
          <t xml:space="preserve">Penalty</t>
        </is>
      </c>
      <c r="X121" s="13"/>
      <c r="Y121" s="13"/>
      <c r="Z121" s="13"/>
      <c r="AA121" s="13"/>
      <c r="AB121" s="13"/>
      <c r="AC121" s="13"/>
      <c r="AD121" s="13"/>
      <c r="AE121" s="13" t="inlineStr">
        <is>
          <t xml:space="preserve">PHI 42. M.Brown left end ran ob at 50 for 8 yards (K.Winston). PENALTY on PHI-J.Mundt, Offensive Holding, 10 yards, enforced at PHI 45. | Set: Under center, Bigsby deep I-back; L: Mundt standing at the end of the line, a receiver off the ball just outside him, WR wide; R: one WR off the ball. Snapped as set | Conf H/M/H, Both</t>
        </is>
      </c>
    </row>
    <row r="122" spans="1:31" ht="15" customHeight="1">
      <c r="A122" s="11" t="str">
        <f>IF(B122="","","W"&amp;B122&amp;"-"&amp;TEXT(COUNTIF($B$5:B122,B122),"000"))</f>
        <v>W2-064</v>
      </c>
      <c r="B122" s="13">
        <v>2</v>
      </c>
      <c r="C122" s="13">
        <v>4</v>
      </c>
      <c r="D122" s="13" t="inlineStr">
        <is>
          <t xml:space="preserve">1</t>
        </is>
      </c>
      <c r="E122" s="13">
        <v>17</v>
      </c>
      <c r="F122" s="13" t="inlineStr">
        <is>
          <t xml:space="preserve">Own 21-40</t>
        </is>
      </c>
      <c r="G122" s="13" t="inlineStr">
        <is>
          <t xml:space="preserve">Left</t>
        </is>
      </c>
      <c r="H122" s="13" t="inlineStr">
        <is>
          <t xml:space="preserve">11</t>
        </is>
      </c>
      <c r="I122" s="13" t="inlineStr">
        <is>
          <t xml:space="preserve">2x2 'D'</t>
        </is>
      </c>
      <c r="J122" s="13"/>
      <c r="K122" s="13" t="inlineStr">
        <is>
          <t xml:space="preserve">Rt</t>
        </is>
      </c>
      <c r="L122" s="13"/>
      <c r="M122" s="13"/>
      <c r="N122" s="13" t="inlineStr">
        <is>
          <t xml:space="preserve">Gun</t>
        </is>
      </c>
      <c r="O122" s="13"/>
      <c r="P122" s="13"/>
      <c r="Q122" s="13"/>
      <c r="R122" s="13"/>
      <c r="S122" s="13"/>
      <c r="T122" s="13"/>
      <c r="U122" s="13"/>
      <c r="V122" s="13" t="inlineStr">
        <is>
          <t xml:space="preserve">D.Cooper</t>
        </is>
      </c>
      <c r="W122" s="13" t="inlineStr">
        <is>
          <t xml:space="preserve">Complete</t>
        </is>
      </c>
      <c r="X122" s="13">
        <v>23</v>
      </c>
      <c r="Y122" s="13"/>
      <c r="Z122" s="13"/>
      <c r="AA122" s="13"/>
      <c r="AB122" s="13"/>
      <c r="AC122" s="13"/>
      <c r="AD122" s="13"/>
      <c r="AE122" s="13" t="inlineStr">
        <is>
          <t xml:space="preserve">PHI 35. (Shotgun) J.Hurts pass short middle to D.Cooper to TEN 42 for 23 yards (K.Winston). | Set: Gun, Bigsby offset R; R: two receivers, one off the ball inside and one on the line outside (near-stack); L: two receivers, slot and wide. No inline TE. Snapped as set | Str by field side | Conf H/M/H, Both</t>
        </is>
      </c>
    </row>
    <row r="123" spans="1:31" ht="15" customHeight="1">
      <c r="A123" s="11" t="str">
        <f>IF(B123="","","W"&amp;B123&amp;"-"&amp;TEXT(COUNTIF($B$5:B123,B123),"000"))</f>
        <v>W2-065</v>
      </c>
      <c r="B123" s="13">
        <v>2</v>
      </c>
      <c r="C123" s="13">
        <v>4</v>
      </c>
      <c r="D123" s="13" t="inlineStr">
        <is>
          <t xml:space="preserve">1</t>
        </is>
      </c>
      <c r="E123" s="13">
        <v>10</v>
      </c>
      <c r="F123" s="13" t="inlineStr">
        <is>
          <t xml:space="preserve">Mid to Opp 41</t>
        </is>
      </c>
      <c r="G123" s="13" t="inlineStr">
        <is>
          <t xml:space="preserve">Left</t>
        </is>
      </c>
      <c r="H123" s="13" t="inlineStr">
        <is>
          <t xml:space="preserve">11</t>
        </is>
      </c>
      <c r="I123" s="13" t="inlineStr">
        <is>
          <t xml:space="preserve">2x2 'D'</t>
        </is>
      </c>
      <c r="J123" s="13"/>
      <c r="K123" s="13" t="inlineStr">
        <is>
          <t xml:space="preserve">Lt</t>
        </is>
      </c>
      <c r="L123" s="13"/>
      <c r="M123" s="13"/>
      <c r="N123" s="13" t="inlineStr">
        <is>
          <t xml:space="preserve">Gun</t>
        </is>
      </c>
      <c r="O123" s="13" t="inlineStr">
        <is>
          <t xml:space="preserve">Run</t>
        </is>
      </c>
      <c r="P123" s="13"/>
      <c r="Q123" s="13"/>
      <c r="R123" s="13"/>
      <c r="S123" s="13"/>
      <c r="T123" s="13"/>
      <c r="U123" s="13"/>
      <c r="V123" s="13" t="inlineStr">
        <is>
          <t xml:space="preserve">T.Bigsby</t>
        </is>
      </c>
      <c r="W123" s="13" t="inlineStr">
        <is>
          <t xml:space="preserve">Run - Gain</t>
        </is>
      </c>
      <c r="X123" s="13">
        <v>3</v>
      </c>
      <c r="Y123" s="13"/>
      <c r="Z123" s="13"/>
      <c r="AA123" s="13"/>
      <c r="AB123" s="13"/>
      <c r="AC123" s="13"/>
      <c r="AD123" s="13"/>
      <c r="AE123" s="13" t="inlineStr">
        <is>
          <t xml:space="preserve">TEN 42. (Shotgun) T.Bigsby right guard to TEN 39 for 3 yards (K.Winston). | Set: Gun, Bigsby offset R; L: Mundt standing a step off the end of the line (wing), WR outside on the line; R: two WRs close together near the numbers. Snapped as set | Conf H/M/H, Both</t>
        </is>
      </c>
    </row>
    <row r="124" spans="1:31" ht="15" customHeight="1">
      <c r="A124" s="11" t="str">
        <f>IF(B124="","","W"&amp;B124&amp;"-"&amp;TEXT(COUNTIF($B$5:B124,B124),"000"))</f>
        <v>W2-066</v>
      </c>
      <c r="B124" s="13">
        <v>2</v>
      </c>
      <c r="C124" s="13">
        <v>4</v>
      </c>
      <c r="D124" s="13" t="inlineStr">
        <is>
          <t xml:space="preserve">2</t>
        </is>
      </c>
      <c r="E124" s="13">
        <v>7</v>
      </c>
      <c r="F124" s="13" t="inlineStr">
        <is>
          <t xml:space="preserve">Opp 40-21</t>
        </is>
      </c>
      <c r="G124" s="13" t="inlineStr">
        <is>
          <t xml:space="preserve">Right</t>
        </is>
      </c>
      <c r="H124" s="13" t="inlineStr">
        <is>
          <t xml:space="preserve">11</t>
        </is>
      </c>
      <c r="I124" s="13" t="inlineStr">
        <is>
          <t xml:space="preserve">3x1 'T'</t>
        </is>
      </c>
      <c r="J124" s="13"/>
      <c r="K124" s="13" t="inlineStr">
        <is>
          <t xml:space="preserve">Lt</t>
        </is>
      </c>
      <c r="L124" s="13"/>
      <c r="M124" s="13"/>
      <c r="N124" s="13" t="inlineStr">
        <is>
          <t xml:space="preserve">Gun</t>
        </is>
      </c>
      <c r="O124" s="13" t="inlineStr">
        <is>
          <t xml:space="preserve">Run</t>
        </is>
      </c>
      <c r="P124" s="13"/>
      <c r="Q124" s="13"/>
      <c r="R124" s="13"/>
      <c r="S124" s="13"/>
      <c r="T124" s="13"/>
      <c r="U124" s="13"/>
      <c r="V124" s="13" t="inlineStr">
        <is>
          <t xml:space="preserve">M.Lemon</t>
        </is>
      </c>
      <c r="W124" s="13" t="inlineStr">
        <is>
          <t xml:space="preserve">Run - Loss</t>
        </is>
      </c>
      <c r="X124" s="13">
        <v>-5</v>
      </c>
      <c r="Y124" s="13"/>
      <c r="Z124" s="13"/>
      <c r="AA124" s="13"/>
      <c r="AB124" s="13"/>
      <c r="AC124" s="13"/>
      <c r="AD124" s="13"/>
      <c r="AE124" s="13" t="inlineStr">
        <is>
          <t xml:space="preserve">TEN 39. (Shotgun) M.Lemon left end to TEN 44 for -5 yards (M.Harris). | Set: Gun, Bigsby offset L; L: three receivers (Lemon off the ball inside, two WRs outside, one off and one on); R: Mundt inline alone. As snapped: Lemon in jet motion from the L slot across toward R and back on the end-around | Motion: M.Lemon / slot L / across the formation toward R / at snap | Conf H/M/H, Both</t>
        </is>
      </c>
    </row>
    <row r="125" spans="1:31" ht="15" customHeight="1">
      <c r="A125" s="11" t="str">
        <f>IF(B125="","","W"&amp;B125&amp;"-"&amp;TEXT(COUNTIF($B$5:B125,B125),"000"))</f>
        <v>W2-067</v>
      </c>
      <c r="B125" s="13">
        <v>2</v>
      </c>
      <c r="C125" s="13">
        <v>4</v>
      </c>
      <c r="D125" s="13" t="inlineStr">
        <is>
          <t xml:space="preserve">3</t>
        </is>
      </c>
      <c r="E125" s="13">
        <v>12</v>
      </c>
      <c r="F125" s="13" t="inlineStr">
        <is>
          <t xml:space="preserve">Mid to Opp 41</t>
        </is>
      </c>
      <c r="G125" s="13" t="inlineStr">
        <is>
          <t xml:space="preserve">Left</t>
        </is>
      </c>
      <c r="H125" s="13" t="inlineStr">
        <is>
          <t xml:space="preserve">11</t>
        </is>
      </c>
      <c r="I125" s="13" t="inlineStr">
        <is>
          <t xml:space="preserve">Empty</t>
        </is>
      </c>
      <c r="J125" s="13"/>
      <c r="K125" s="13" t="inlineStr">
        <is>
          <t xml:space="preserve">Rt</t>
        </is>
      </c>
      <c r="L125" s="13"/>
      <c r="M125" s="13"/>
      <c r="N125" s="13" t="inlineStr">
        <is>
          <t xml:space="preserve">Gun</t>
        </is>
      </c>
      <c r="O125" s="13"/>
      <c r="P125" s="13"/>
      <c r="Q125" s="13"/>
      <c r="R125" s="13"/>
      <c r="S125" s="13"/>
      <c r="T125" s="13"/>
      <c r="U125" s="13"/>
      <c r="V125" s="13" t="inlineStr">
        <is>
          <t xml:space="preserve">D.Smith</t>
        </is>
      </c>
      <c r="W125" s="13" t="inlineStr">
        <is>
          <t xml:space="preserve">Interception</t>
        </is>
      </c>
      <c r="X125" s="13">
        <v>0</v>
      </c>
      <c r="Y125" s="13"/>
      <c r="Z125" s="13"/>
      <c r="AA125" s="13"/>
      <c r="AB125" s="13"/>
      <c r="AC125" s="13"/>
      <c r="AD125" s="13"/>
      <c r="AE125" s="13" t="inlineStr">
        <is>
          <t xml:space="preserve">TEN 44. (Shotgun) J.Hurts pass deep left intended for D.Smith INTERCEPTED by M.Harris [J.Simmons] at TEN 14. M.Harris pushed ob at TEN 17 for 3 yards (D.Smith). | Set: Empty gun 3x2: R Mundt detached ~3 yds outside the RT, a slot, a WR wide; L two receivers (slot and wide). Snapped as set | Conf H/M/H, Both</t>
        </is>
      </c>
    </row>
    <row r="126" spans="1:31" ht="15" customHeight="1">
      <c r="A126" s="11" t="str">
        <f>IF(B126="","","W"&amp;B126&amp;"-"&amp;TEXT(COUNTIF($B$5:B126,B126),"000"))</f>
        <v>W2-068</v>
      </c>
      <c r="B126" s="13">
        <v>2</v>
      </c>
      <c r="C126" s="13">
        <v>4</v>
      </c>
      <c r="D126" s="13" t="inlineStr">
        <is>
          <t xml:space="preserve">1</t>
        </is>
      </c>
      <c r="E126" s="13">
        <v>10</v>
      </c>
      <c r="F126" s="13" t="inlineStr">
        <is>
          <t xml:space="preserve">Own 21-40</t>
        </is>
      </c>
      <c r="G126" s="13" t="inlineStr">
        <is>
          <t xml:space="preserve">Right</t>
        </is>
      </c>
      <c r="H126" s="13" t="inlineStr">
        <is>
          <t xml:space="preserve">11</t>
        </is>
      </c>
      <c r="I126" s="13" t="inlineStr">
        <is>
          <t xml:space="preserve">2x2 'D'</t>
        </is>
      </c>
      <c r="J126" s="13"/>
      <c r="K126" s="13" t="inlineStr">
        <is>
          <t xml:space="preserve">Lt</t>
        </is>
      </c>
      <c r="L126" s="13"/>
      <c r="M126" s="13"/>
      <c r="N126" s="13" t="inlineStr">
        <is>
          <t xml:space="preserve">Gun</t>
        </is>
      </c>
      <c r="O126" s="13"/>
      <c r="P126" s="13"/>
      <c r="Q126" s="13"/>
      <c r="R126" s="13"/>
      <c r="S126" s="13"/>
      <c r="T126" s="13"/>
      <c r="U126" s="13"/>
      <c r="V126" s="13" t="inlineStr">
        <is>
          <t xml:space="preserve">D.Wicks</t>
        </is>
      </c>
      <c r="W126" s="13" t="inlineStr">
        <is>
          <t xml:space="preserve">Incomplete</t>
        </is>
      </c>
      <c r="X126" s="13">
        <v>0</v>
      </c>
      <c r="Y126" s="13"/>
      <c r="Z126" s="13"/>
      <c r="AA126" s="13"/>
      <c r="AB126" s="13"/>
      <c r="AC126" s="13"/>
      <c r="AD126" s="13"/>
      <c r="AE126" s="13" t="inlineStr">
        <is>
          <t xml:space="preserve">PHI 35. (Shotgun) J.Hurts pass incomplete short middle to D.Wicks. | Set: Gun, Shipley offset L; R: two receivers near the numbers (one on, one off the ball); L: two receivers, slot off the ball and WR wide. No inline TE. Snapped as set | Str by field side | Conf H/M/H, Both</t>
        </is>
      </c>
    </row>
    <row r="127" spans="1:31" ht="15" customHeight="1">
      <c r="A127" s="11" t="str">
        <f>IF(B127="","","W"&amp;B127&amp;"-"&amp;TEXT(COUNTIF($B$5:B127,B127),"000"))</f>
        <v>W2-069</v>
      </c>
      <c r="B127" s="13">
        <v>2</v>
      </c>
      <c r="C127" s="13">
        <v>4</v>
      </c>
      <c r="D127" s="13" t="inlineStr">
        <is>
          <t xml:space="preserve">2</t>
        </is>
      </c>
      <c r="E127" s="13">
        <v>10</v>
      </c>
      <c r="F127" s="13" t="inlineStr">
        <is>
          <t xml:space="preserve">Own 21-40</t>
        </is>
      </c>
      <c r="G127" s="13" t="inlineStr">
        <is>
          <t xml:space="preserve">Right</t>
        </is>
      </c>
      <c r="H127" s="13" t="inlineStr">
        <is>
          <t xml:space="preserve">11</t>
        </is>
      </c>
      <c r="I127" s="13" t="inlineStr">
        <is>
          <t xml:space="preserve">3x1 'T'</t>
        </is>
      </c>
      <c r="J127" s="13"/>
      <c r="K127" s="13" t="inlineStr">
        <is>
          <t xml:space="preserve">Lt</t>
        </is>
      </c>
      <c r="L127" s="13"/>
      <c r="M127" s="13"/>
      <c r="N127" s="13" t="inlineStr">
        <is>
          <t xml:space="preserve">Gun</t>
        </is>
      </c>
      <c r="O127" s="13"/>
      <c r="P127" s="13"/>
      <c r="Q127" s="13"/>
      <c r="R127" s="13"/>
      <c r="S127" s="13"/>
      <c r="T127" s="13"/>
      <c r="U127" s="13"/>
      <c r="V127" s="13" t="inlineStr">
        <is>
          <t xml:space="preserve">D.Smith</t>
        </is>
      </c>
      <c r="W127" s="13" t="inlineStr">
        <is>
          <t xml:space="preserve">Complete</t>
        </is>
      </c>
      <c r="X127" s="13">
        <v>4</v>
      </c>
      <c r="Y127" s="13"/>
      <c r="Z127" s="13"/>
      <c r="AA127" s="13"/>
      <c r="AB127" s="13"/>
      <c r="AC127" s="13"/>
      <c r="AD127" s="13"/>
      <c r="AE127" s="13" t="inlineStr">
        <is>
          <t xml:space="preserve">PHI 35. (Shotgun) J.Hurts pass short right to D.Smith ran ob at PHI 39 for 4 yards. | Set: Gun, Shipley offset R; L: three WRs (Smith in the slot off the ball, two outside); R: Mundt detached ~4 yds outside the RT alone. As snapped: Smith motions from the L slot across behind the QB toward R | Motion: D.Smith / slot L / across behind the QB toward R / at snap | Conf H/M/H, Both</t>
        </is>
      </c>
    </row>
    <row r="128" spans="1:31" ht="15" customHeight="1">
      <c r="A128" s="11" t="str">
        <f>IF(B128="","","W"&amp;B128&amp;"-"&amp;TEXT(COUNTIF($B$5:B128,B128),"000"))</f>
        <v>W2-070</v>
      </c>
      <c r="B128" s="13">
        <v>2</v>
      </c>
      <c r="C128" s="13">
        <v>4</v>
      </c>
      <c r="D128" s="13" t="inlineStr">
        <is>
          <t xml:space="preserve">3</t>
        </is>
      </c>
      <c r="E128" s="13">
        <v>6</v>
      </c>
      <c r="F128" s="13" t="inlineStr">
        <is>
          <t xml:space="preserve">Own 21-40</t>
        </is>
      </c>
      <c r="G128" s="13" t="inlineStr">
        <is>
          <t xml:space="preserve">Right</t>
        </is>
      </c>
      <c r="H128" s="13" t="inlineStr">
        <is>
          <t xml:space="preserve">11</t>
        </is>
      </c>
      <c r="I128" s="13" t="inlineStr">
        <is>
          <t xml:space="preserve">3x1 'T'</t>
        </is>
      </c>
      <c r="J128" s="13"/>
      <c r="K128" s="13" t="inlineStr">
        <is>
          <t xml:space="preserve">Rt</t>
        </is>
      </c>
      <c r="L128" s="13"/>
      <c r="M128" s="13"/>
      <c r="N128" s="13" t="inlineStr">
        <is>
          <t xml:space="preserve">Gun</t>
        </is>
      </c>
      <c r="O128" s="13"/>
      <c r="P128" s="13"/>
      <c r="Q128" s="13"/>
      <c r="R128" s="13"/>
      <c r="S128" s="13"/>
      <c r="T128" s="13"/>
      <c r="U128" s="13"/>
      <c r="V128" s="13" t="inlineStr">
        <is>
          <t xml:space="preserve">D.Wicks</t>
        </is>
      </c>
      <c r="W128" s="13" t="inlineStr">
        <is>
          <t xml:space="preserve">Complete</t>
        </is>
      </c>
      <c r="X128" s="13">
        <v>20</v>
      </c>
      <c r="Y128" s="13"/>
      <c r="Z128" s="13"/>
      <c r="AA128" s="13"/>
      <c r="AB128" s="13"/>
      <c r="AC128" s="13"/>
      <c r="AD128" s="13"/>
      <c r="AE128" s="13" t="inlineStr">
        <is>
          <t xml:space="preserve">PHI 39. (Shotgun) J.Hurts pass deep right to D.Wicks to TEN 41 for 20 yards (M.Harris). | Set: Gun, Shipley offset L; R: Mundt at the end of the line, a WR tight off his hip, and a third receiver wide outside the camera frame (inferred); L: one WR wide. Snapped as set | Conf H/L/H, Both</t>
        </is>
      </c>
    </row>
    <row r="129" spans="1:31" ht="15" customHeight="1">
      <c r="A129" s="11" t="str">
        <f>IF(B129="","","W"&amp;B129&amp;"-"&amp;TEXT(COUNTIF($B$5:B129,B129),"000"))</f>
        <v>W2-071</v>
      </c>
      <c r="B129" s="13">
        <v>2</v>
      </c>
      <c r="C129" s="13">
        <v>4</v>
      </c>
      <c r="D129" s="13" t="inlineStr">
        <is>
          <t xml:space="preserve">1</t>
        </is>
      </c>
      <c r="E129" s="13">
        <v>10</v>
      </c>
      <c r="F129" s="13" t="inlineStr">
        <is>
          <t xml:space="preserve">Mid to Opp 41</t>
        </is>
      </c>
      <c r="G129" s="13" t="inlineStr">
        <is>
          <t xml:space="preserve">Right</t>
        </is>
      </c>
      <c r="H129" s="13" t="inlineStr">
        <is>
          <t xml:space="preserve">11</t>
        </is>
      </c>
      <c r="I129" s="13" t="inlineStr">
        <is>
          <t xml:space="preserve">2x2 'D'</t>
        </is>
      </c>
      <c r="J129" s="13"/>
      <c r="K129" s="13" t="inlineStr">
        <is>
          <t xml:space="preserve">Rt</t>
        </is>
      </c>
      <c r="L129" s="13"/>
      <c r="M129" s="13"/>
      <c r="N129" s="13" t="inlineStr">
        <is>
          <t xml:space="preserve">Gun</t>
        </is>
      </c>
      <c r="O129" s="13"/>
      <c r="P129" s="13"/>
      <c r="Q129" s="13"/>
      <c r="R129" s="13"/>
      <c r="S129" s="13"/>
      <c r="T129" s="13"/>
      <c r="U129" s="13"/>
      <c r="V129" s="13" t="inlineStr">
        <is>
          <t xml:space="preserve">D.Smith</t>
        </is>
      </c>
      <c r="W129" s="13" t="inlineStr">
        <is>
          <t xml:space="preserve">Complete</t>
        </is>
      </c>
      <c r="X129" s="13">
        <v>9</v>
      </c>
      <c r="Y129" s="13"/>
      <c r="Z129" s="13"/>
      <c r="AA129" s="13"/>
      <c r="AB129" s="13"/>
      <c r="AC129" s="13"/>
      <c r="AD129" s="13"/>
      <c r="AE129" s="13" t="inlineStr">
        <is>
          <t xml:space="preserve">TEN 41. (No Huddle, Shotgun) J.Hurts pass short right to D.Smith to TEN 32 for 9 yards (A.Taylor). | Set: Gun, Shipley offset L; R: end man standing just outside the RT (inferred Mundt) plus a WR off the ball outside; L: two WRs (slot off the ball, wide). Snapped as set | Conf H/M/H, Both</t>
        </is>
      </c>
    </row>
    <row r="130" spans="1:31" ht="15" customHeight="1">
      <c r="A130" s="11" t="str">
        <f>IF(B130="","","W"&amp;B130&amp;"-"&amp;TEXT(COUNTIF($B$5:B130,B130),"000"))</f>
        <v>W2-072</v>
      </c>
      <c r="B130" s="13">
        <v>2</v>
      </c>
      <c r="C130" s="13">
        <v>4</v>
      </c>
      <c r="D130" s="13" t="inlineStr">
        <is>
          <t xml:space="preserve">2</t>
        </is>
      </c>
      <c r="E130" s="13">
        <v>1</v>
      </c>
      <c r="F130" s="13" t="inlineStr">
        <is>
          <t xml:space="preserve">Opp 40-21</t>
        </is>
      </c>
      <c r="G130" s="13" t="inlineStr">
        <is>
          <t xml:space="preserve">Right</t>
        </is>
      </c>
      <c r="H130" s="13" t="inlineStr">
        <is>
          <t xml:space="preserve">11</t>
        </is>
      </c>
      <c r="I130" s="13" t="inlineStr">
        <is>
          <t xml:space="preserve">2x2 'D'</t>
        </is>
      </c>
      <c r="J130" s="13"/>
      <c r="K130" s="13" t="inlineStr">
        <is>
          <t xml:space="preserve">Rt</t>
        </is>
      </c>
      <c r="L130" s="13"/>
      <c r="M130" s="13"/>
      <c r="N130" s="13" t="inlineStr">
        <is>
          <t xml:space="preserve">Gun</t>
        </is>
      </c>
      <c r="O130" s="13"/>
      <c r="P130" s="13"/>
      <c r="Q130" s="13"/>
      <c r="R130" s="13"/>
      <c r="S130" s="13"/>
      <c r="T130" s="13"/>
      <c r="U130" s="13"/>
      <c r="V130" s="13" t="inlineStr">
        <is>
          <t xml:space="preserve">D.Smith</t>
        </is>
      </c>
      <c r="W130" s="13" t="inlineStr">
        <is>
          <t xml:space="preserve">Complete</t>
        </is>
      </c>
      <c r="X130" s="13">
        <v>6</v>
      </c>
      <c r="Y130" s="13"/>
      <c r="Z130" s="13"/>
      <c r="AA130" s="13"/>
      <c r="AB130" s="13"/>
      <c r="AC130" s="13"/>
      <c r="AD130" s="13"/>
      <c r="AE130" s="13" t="inlineStr">
        <is>
          <t xml:space="preserve">TEN 32. (No Huddle, Shotgun) J.Hurts pass short right to D.Smith ran ob at TEN 26 for 6 yards. | Set: Gun, Shipley offset L; R: end man standing just outside the RT (inferred Mundt) plus a receiver outside on the line; L: two WRs (slot off the ball, wide). Same look as W2-071. Snapped as set | Conf H/M/H, Both</t>
        </is>
      </c>
    </row>
    <row r="131" spans="1:31" ht="15" customHeight="1">
      <c r="A131" s="11" t="str">
        <f>IF(B131="","","W"&amp;B131&amp;"-"&amp;TEXT(COUNTIF($B$5:B131,B131),"000"))</f>
        <v>W2-073</v>
      </c>
      <c r="B131" s="13">
        <v>2</v>
      </c>
      <c r="C131" s="13">
        <v>4</v>
      </c>
      <c r="D131" s="13" t="inlineStr">
        <is>
          <t xml:space="preserve">1</t>
        </is>
      </c>
      <c r="E131" s="13">
        <v>10</v>
      </c>
      <c r="F131" s="13" t="inlineStr">
        <is>
          <t xml:space="preserve">Opp 40-21</t>
        </is>
      </c>
      <c r="G131" s="13" t="inlineStr">
        <is>
          <t xml:space="preserve">Right</t>
        </is>
      </c>
      <c r="H131" s="13" t="inlineStr">
        <is>
          <t xml:space="preserve">11</t>
        </is>
      </c>
      <c r="I131" s="13" t="inlineStr">
        <is>
          <t xml:space="preserve">Bunch 'B'</t>
        </is>
      </c>
      <c r="J131" s="13"/>
      <c r="K131" s="13" t="inlineStr">
        <is>
          <t xml:space="preserve">Lt</t>
        </is>
      </c>
      <c r="L131" s="13"/>
      <c r="M131" s="13"/>
      <c r="N131" s="13" t="inlineStr">
        <is>
          <t xml:space="preserve">Gun</t>
        </is>
      </c>
      <c r="O131" s="13"/>
      <c r="P131" s="13"/>
      <c r="Q131" s="13"/>
      <c r="R131" s="13"/>
      <c r="S131" s="13"/>
      <c r="T131" s="13"/>
      <c r="U131" s="13"/>
      <c r="V131" s="13"/>
      <c r="W131" s="13" t="inlineStr">
        <is>
          <t xml:space="preserve">Incomplete</t>
        </is>
      </c>
      <c r="X131" s="13">
        <v>0</v>
      </c>
      <c r="Y131" s="13"/>
      <c r="Z131" s="13"/>
      <c r="AA131" s="13"/>
      <c r="AB131" s="13"/>
      <c r="AC131" s="13"/>
      <c r="AD131" s="13"/>
      <c r="AE131" s="13" t="inlineStr">
        <is>
          <t xml:space="preserve">TEN 26. (Shotgun) J.Hurts pass incomplete short right [J.Martin]. | Set: Gun, Shipley offset R; L: three-man bunch just outside the LT (Jenkins inferred in the bunch); R: one WR wide. Snapped as set | Conf H/M/H, Both</t>
        </is>
      </c>
    </row>
    <row r="132" spans="1:31" ht="15" customHeight="1">
      <c r="A132" s="11" t="str">
        <f>IF(B132="","","W"&amp;B132&amp;"-"&amp;TEXT(COUNTIF($B$5:B132,B132),"000"))</f>
        <v>W2-074</v>
      </c>
      <c r="B132" s="13">
        <v>2</v>
      </c>
      <c r="C132" s="13">
        <v>4</v>
      </c>
      <c r="D132" s="13" t="inlineStr">
        <is>
          <t xml:space="preserve">2</t>
        </is>
      </c>
      <c r="E132" s="13">
        <v>10</v>
      </c>
      <c r="F132" s="13" t="inlineStr">
        <is>
          <t xml:space="preserve">Opp 40-21</t>
        </is>
      </c>
      <c r="G132" s="13" t="inlineStr">
        <is>
          <t xml:space="preserve">Right</t>
        </is>
      </c>
      <c r="H132" s="13" t="inlineStr">
        <is>
          <t xml:space="preserve">11</t>
        </is>
      </c>
      <c r="I132" s="13" t="inlineStr">
        <is>
          <t xml:space="preserve">3x1 'T'</t>
        </is>
      </c>
      <c r="J132" s="13"/>
      <c r="K132" s="13" t="inlineStr">
        <is>
          <t xml:space="preserve">Lt</t>
        </is>
      </c>
      <c r="L132" s="13"/>
      <c r="M132" s="13"/>
      <c r="N132" s="13" t="inlineStr">
        <is>
          <t xml:space="preserve">Gun</t>
        </is>
      </c>
      <c r="O132" s="13" t="inlineStr">
        <is>
          <t xml:space="preserve">Scramble</t>
        </is>
      </c>
      <c r="P132" s="13"/>
      <c r="Q132" s="13"/>
      <c r="R132" s="13"/>
      <c r="S132" s="13"/>
      <c r="T132" s="13"/>
      <c r="U132" s="13"/>
      <c r="V132" s="13" t="inlineStr">
        <is>
          <t xml:space="preserve">J.Hurts</t>
        </is>
      </c>
      <c r="W132" s="13" t="inlineStr">
        <is>
          <t xml:space="preserve">Scramble</t>
        </is>
      </c>
      <c r="X132" s="13">
        <v>4</v>
      </c>
      <c r="Y132" s="13"/>
      <c r="Z132" s="13"/>
      <c r="AA132" s="13"/>
      <c r="AB132" s="13"/>
      <c r="AC132" s="13"/>
      <c r="AD132" s="13"/>
      <c r="AE132" s="13" t="inlineStr">
        <is>
          <t xml:space="preserve">TEN 26. (Shotgun) J.Hurts scrambles up the middle to TEN 22 for 4 yards (M.Harris). | Set: Gun, Shipley offset R; L: three receivers stretched outside the LT (slot off the ball, two farther out); R: one WR wide on the line. Snapped as set | Conf H/M/H, Both</t>
        </is>
      </c>
    </row>
    <row r="133" spans="1:31" ht="15" customHeight="1">
      <c r="A133" s="11" t="str">
        <f>IF(B133="","","W"&amp;B133&amp;"-"&amp;TEXT(COUNTIF($B$5:B133,B133),"000"))</f>
        <v>W2-075</v>
      </c>
      <c r="B133" s="13">
        <v>2</v>
      </c>
      <c r="C133" s="13">
        <v>4</v>
      </c>
      <c r="D133" s="13" t="inlineStr">
        <is>
          <t xml:space="preserve">3</t>
        </is>
      </c>
      <c r="E133" s="13">
        <v>6</v>
      </c>
      <c r="F133" s="13" t="inlineStr">
        <is>
          <t xml:space="preserve">Opp 40-21</t>
        </is>
      </c>
      <c r="G133" s="13" t="inlineStr">
        <is>
          <t xml:space="preserve">Left</t>
        </is>
      </c>
      <c r="H133" s="13" t="inlineStr">
        <is>
          <t xml:space="preserve">11</t>
        </is>
      </c>
      <c r="I133" s="13" t="inlineStr">
        <is>
          <t xml:space="preserve">2x2 'D'</t>
        </is>
      </c>
      <c r="J133" s="13"/>
      <c r="K133" s="13" t="inlineStr">
        <is>
          <t xml:space="preserve">Lt</t>
        </is>
      </c>
      <c r="L133" s="13"/>
      <c r="M133" s="13"/>
      <c r="N133" s="13" t="inlineStr">
        <is>
          <t xml:space="preserve">Gun</t>
        </is>
      </c>
      <c r="O133" s="13"/>
      <c r="P133" s="13"/>
      <c r="Q133" s="13"/>
      <c r="R133" s="13"/>
      <c r="S133" s="13"/>
      <c r="T133" s="13"/>
      <c r="U133" s="13"/>
      <c r="V133" s="13" t="inlineStr">
        <is>
          <t xml:space="preserve">D.Smith</t>
        </is>
      </c>
      <c r="W133" s="13" t="inlineStr">
        <is>
          <t xml:space="preserve">Complete</t>
        </is>
      </c>
      <c r="X133" s="13">
        <v>19</v>
      </c>
      <c r="Y133" s="13"/>
      <c r="Z133" s="13"/>
      <c r="AA133" s="13"/>
      <c r="AB133" s="13"/>
      <c r="AC133" s="13"/>
      <c r="AD133" s="13"/>
      <c r="AE133" s="13" t="inlineStr">
        <is>
          <t xml:space="preserve">TEN 22. (No Huddle, Shotgun) J.Hurts pass deep left to D.Smith pushed ob at TEN 3 for 19 yards (M.Robinson). | Set: Gun, Shipley offset R; L: Jenkins standing as a wing just outside the LT, WR wide; R: two WRs off the ball near the numbers. Snapped as set | Conf H/M/H, Both</t>
        </is>
      </c>
    </row>
    <row r="134" spans="1:31" ht="15" customHeight="1">
      <c r="A134" s="11" t="str">
        <f>IF(B134="","","W"&amp;B134&amp;"-"&amp;TEXT(COUNTIF($B$5:B134,B134),"000"))</f>
        <v>W2-076</v>
      </c>
      <c r="B134" s="13">
        <v>2</v>
      </c>
      <c r="C134" s="13">
        <v>4</v>
      </c>
      <c r="D134" s="13" t="inlineStr">
        <is>
          <t xml:space="preserve">1</t>
        </is>
      </c>
      <c r="E134" s="13">
        <v>3</v>
      </c>
      <c r="F134" s="13" t="inlineStr">
        <is>
          <t xml:space="preserve">Opp 10-1 (Goal Line)</t>
        </is>
      </c>
      <c r="G134" s="13" t="inlineStr">
        <is>
          <t xml:space="preserve">Left</t>
        </is>
      </c>
      <c r="H134" s="13" t="inlineStr">
        <is>
          <t xml:space="preserve">11</t>
        </is>
      </c>
      <c r="I134" s="13" t="inlineStr">
        <is>
          <t xml:space="preserve">Bunch 'B'</t>
        </is>
      </c>
      <c r="J134" s="13"/>
      <c r="K134" s="13" t="inlineStr">
        <is>
          <t xml:space="preserve">Rt</t>
        </is>
      </c>
      <c r="L134" s="13"/>
      <c r="M134" s="13"/>
      <c r="N134" s="13" t="inlineStr">
        <is>
          <t xml:space="preserve">Gun</t>
        </is>
      </c>
      <c r="O134" s="13"/>
      <c r="P134" s="13"/>
      <c r="Q134" s="13"/>
      <c r="R134" s="13"/>
      <c r="S134" s="13"/>
      <c r="T134" s="13"/>
      <c r="U134" s="13"/>
      <c r="V134" s="13" t="inlineStr">
        <is>
          <t xml:space="preserve">D.Cooper</t>
        </is>
      </c>
      <c r="W134" s="13" t="inlineStr">
        <is>
          <t xml:space="preserve">Touchdown</t>
        </is>
      </c>
      <c r="X134" s="13">
        <v>3</v>
      </c>
      <c r="Y134" s="13"/>
      <c r="Z134" s="13"/>
      <c r="AA134" s="13"/>
      <c r="AB134" s="13"/>
      <c r="AC134" s="13"/>
      <c r="AD134" s="13"/>
      <c r="AE134" s="13" t="inlineStr">
        <is>
          <t xml:space="preserve">TEN 3. (Shotgun) J.Hurts pass short middle to D.Cooper for 3 yards, TOUCHDOWN. | Set: Gun, Shipley offset L; R: three-man bunch outside the RT (Smith #6 read; Mundt inferred in the bunch); L: one WR wide. Snapped as set | Conf H/M/H, Both</t>
        </is>
      </c>
    </row>
    <row r="135" spans="1:31" ht="15" customHeight="1">
      <c r="A135" s="11" t="str">
        <f>IF(B135="","","W"&amp;B135&amp;"-"&amp;TEXT(COUNTIF($B$5:B135,B135),"000"))</f>
        <v/>
      </c>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row>
    <row r="136" spans="1:31" ht="15" customHeight="1">
      <c r="A136" s="11" t="str">
        <f>IF(B136="","","W"&amp;B136&amp;"-"&amp;TEXT(COUNTIF($B$5:B136,B136),"000"))</f>
        <v/>
      </c>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spans="1:31" ht="15" customHeight="1">
      <c r="A137" s="11" t="str">
        <f>IF(B137="","","W"&amp;B137&amp;"-"&amp;TEXT(COUNTIF($B$5:B137,B137),"000"))</f>
        <v/>
      </c>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spans="1:31" ht="15" customHeight="1">
      <c r="A138" s="11" t="str">
        <f>IF(B138="","","W"&amp;B138&amp;"-"&amp;TEXT(COUNTIF($B$5:B138,B138),"000"))</f>
        <v/>
      </c>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spans="1:31" ht="15" customHeight="1">
      <c r="A139" s="11" t="str">
        <f>IF(B139="","","W"&amp;B139&amp;"-"&amp;TEXT(COUNTIF($B$5:B139,B139),"000"))</f>
        <v/>
      </c>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spans="1:31" ht="15" customHeight="1">
      <c r="A140" s="11" t="str">
        <f>IF(B140="","","W"&amp;B140&amp;"-"&amp;TEXT(COUNTIF($B$5:B140,B140),"000"))</f>
        <v/>
      </c>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row>
    <row r="141" spans="1:31" ht="15" customHeight="1">
      <c r="A141" s="11" t="str">
        <f>IF(B141="","","W"&amp;B141&amp;"-"&amp;TEXT(COUNTIF($B$5:B141,B141),"000"))</f>
        <v/>
      </c>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spans="1:31" ht="15" customHeight="1">
      <c r="A142" s="11" t="str">
        <f>IF(B142="","","W"&amp;B142&amp;"-"&amp;TEXT(COUNTIF($B$5:B142,B142),"000"))</f>
        <v/>
      </c>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row>
    <row r="143" spans="1:31" ht="15" customHeight="1">
      <c r="A143" s="11" t="str">
        <f>IF(B143="","","W"&amp;B143&amp;"-"&amp;TEXT(COUNTIF($B$5:B143,B143),"000"))</f>
        <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spans="1:31" ht="15" customHeight="1">
      <c r="A144" s="11" t="str">
        <f>IF(B144="","","W"&amp;B144&amp;"-"&amp;TEXT(COUNTIF($B$5:B144,B144),"000"))</f>
        <v/>
      </c>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row>
    <row r="145" spans="1:31" ht="15" customHeight="1">
      <c r="A145" s="11" t="str">
        <f>IF(B145="","","W"&amp;B145&amp;"-"&amp;TEXT(COUNTIF($B$5:B145,B145),"000"))</f>
        <v/>
      </c>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row>
    <row r="146" spans="1:31" ht="15" customHeight="1">
      <c r="A146" s="11" t="str">
        <f>IF(B146="","","W"&amp;B146&amp;"-"&amp;TEXT(COUNTIF($B$5:B146,B146),"000"))</f>
        <v/>
      </c>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row>
    <row r="147" spans="1:31" ht="15" customHeight="1">
      <c r="A147" s="11" t="str">
        <f>IF(B147="","","W"&amp;B147&amp;"-"&amp;TEXT(COUNTIF($B$5:B147,B147),"000"))</f>
        <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row>
    <row r="148" spans="1:31" ht="15" customHeight="1">
      <c r="A148" s="11" t="str">
        <f>IF(B148="","","W"&amp;B148&amp;"-"&amp;TEXT(COUNTIF($B$5:B148,B148),"000"))</f>
        <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spans="1:31" ht="15" customHeight="1">
      <c r="A149" s="11" t="str">
        <f>IF(B149="","","W"&amp;B149&amp;"-"&amp;TEXT(COUNTIF($B$5:B149,B149),"000"))</f>
        <v/>
      </c>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row>
    <row r="150" spans="1:31" ht="15" customHeight="1">
      <c r="A150" s="11" t="str">
        <f>IF(B150="","","W"&amp;B150&amp;"-"&amp;TEXT(COUNTIF($B$5:B150,B150),"000"))</f>
        <v/>
      </c>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spans="1:31" ht="15" customHeight="1">
      <c r="A151" s="11" t="str">
        <f>IF(B151="","","W"&amp;B151&amp;"-"&amp;TEXT(COUNTIF($B$5:B151,B151),"000"))</f>
        <v/>
      </c>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row>
    <row r="152" spans="1:31" ht="15" customHeight="1">
      <c r="A152" s="11" t="str">
        <f>IF(B152="","","W"&amp;B152&amp;"-"&amp;TEXT(COUNTIF($B$5:B152,B152),"000"))</f>
        <v/>
      </c>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row>
    <row r="153" spans="1:31" ht="15" customHeight="1">
      <c r="A153" s="11" t="str">
        <f>IF(B153="","","W"&amp;B153&amp;"-"&amp;TEXT(COUNTIF($B$5:B153,B153),"000"))</f>
        <v/>
      </c>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row>
    <row r="154" spans="1:31" ht="15" customHeight="1">
      <c r="A154" s="11" t="str">
        <f>IF(B154="","","W"&amp;B154&amp;"-"&amp;TEXT(COUNTIF($B$5:B154,B154),"000"))</f>
        <v/>
      </c>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spans="1:31" ht="15" customHeight="1">
      <c r="A155" s="11" t="str">
        <f>IF(B155="","","W"&amp;B155&amp;"-"&amp;TEXT(COUNTIF($B$5:B155,B155),"000"))</f>
        <v/>
      </c>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row>
    <row r="156" spans="1:31" ht="15" customHeight="1">
      <c r="A156" s="11" t="str">
        <f>IF(B156="","","W"&amp;B156&amp;"-"&amp;TEXT(COUNTIF($B$5:B156,B156),"000"))</f>
        <v/>
      </c>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row>
    <row r="157" spans="1:31" ht="15" customHeight="1">
      <c r="A157" s="11" t="str">
        <f>IF(B157="","","W"&amp;B157&amp;"-"&amp;TEXT(COUNTIF($B$5:B157,B157),"000"))</f>
        <v/>
      </c>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row>
    <row r="158" spans="1:31" ht="15" customHeight="1">
      <c r="A158" s="11" t="str">
        <f>IF(B158="","","W"&amp;B158&amp;"-"&amp;TEXT(COUNTIF($B$5:B158,B158),"000"))</f>
        <v/>
      </c>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row>
    <row r="159" spans="1:31" ht="15" customHeight="1">
      <c r="A159" s="11" t="str">
        <f>IF(B159="","","W"&amp;B159&amp;"-"&amp;TEXT(COUNTIF($B$5:B159,B159),"000"))</f>
        <v/>
      </c>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row>
    <row r="160" spans="1:31" ht="15" customHeight="1">
      <c r="A160" s="11" t="str">
        <f>IF(B160="","","W"&amp;B160&amp;"-"&amp;TEXT(COUNTIF($B$5:B160,B160),"000"))</f>
        <v/>
      </c>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row>
    <row r="161" spans="1:31" ht="15" customHeight="1">
      <c r="A161" s="11" t="str">
        <f>IF(B161="","","W"&amp;B161&amp;"-"&amp;TEXT(COUNTIF($B$5:B161,B161),"000"))</f>
        <v/>
      </c>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row>
    <row r="162" spans="1:31" ht="15" customHeight="1">
      <c r="A162" s="11" t="str">
        <f>IF(B162="","","W"&amp;B162&amp;"-"&amp;TEXT(COUNTIF($B$5:B162,B162),"000"))</f>
        <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row>
    <row r="163" spans="1:31" ht="15" customHeight="1">
      <c r="A163" s="11" t="str">
        <f>IF(B163="","","W"&amp;B163&amp;"-"&amp;TEXT(COUNTIF($B$5:B163,B163),"000"))</f>
        <v/>
      </c>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row>
    <row r="164" spans="1:31" ht="15" customHeight="1">
      <c r="A164" s="11" t="str">
        <f>IF(B164="","","W"&amp;B164&amp;"-"&amp;TEXT(COUNTIF($B$5:B164,B164),"000"))</f>
        <v/>
      </c>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row>
    <row r="165" spans="1:31" ht="15" customHeight="1">
      <c r="A165" s="11" t="str">
        <f>IF(B165="","","W"&amp;B165&amp;"-"&amp;TEXT(COUNTIF($B$5:B165,B165),"000"))</f>
        <v/>
      </c>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row>
    <row r="166" spans="1:31" ht="15" customHeight="1">
      <c r="A166" s="11" t="str">
        <f>IF(B166="","","W"&amp;B166&amp;"-"&amp;TEXT(COUNTIF($B$5:B166,B166),"000"))</f>
        <v/>
      </c>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row>
    <row r="167" spans="1:31" ht="15" customHeight="1">
      <c r="A167" s="11" t="str">
        <f>IF(B167="","","W"&amp;B167&amp;"-"&amp;TEXT(COUNTIF($B$5:B167,B167),"000"))</f>
        <v/>
      </c>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row>
    <row r="168" spans="1:31" ht="15" customHeight="1">
      <c r="A168" s="11" t="str">
        <f>IF(B168="","","W"&amp;B168&amp;"-"&amp;TEXT(COUNTIF($B$5:B168,B168),"000"))</f>
        <v/>
      </c>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row>
    <row r="169" spans="1:31" ht="15" customHeight="1">
      <c r="A169" s="11" t="str">
        <f>IF(B169="","","W"&amp;B169&amp;"-"&amp;TEXT(COUNTIF($B$5:B169,B169),"000"))</f>
        <v/>
      </c>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row>
    <row r="170" spans="1:31" ht="15" customHeight="1">
      <c r="A170" s="11" t="str">
        <f>IF(B170="","","W"&amp;B170&amp;"-"&amp;TEXT(COUNTIF($B$5:B170,B170),"000"))</f>
        <v/>
      </c>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row>
    <row r="171" spans="1:31" ht="15" customHeight="1">
      <c r="A171" s="11" t="str">
        <f>IF(B171="","","W"&amp;B171&amp;"-"&amp;TEXT(COUNTIF($B$5:B171,B171),"000"))</f>
        <v/>
      </c>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row>
    <row r="172" spans="1:31" ht="15" customHeight="1">
      <c r="A172" s="11" t="str">
        <f>IF(B172="","","W"&amp;B172&amp;"-"&amp;TEXT(COUNTIF($B$5:B172,B172),"000"))</f>
        <v/>
      </c>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row>
    <row r="173" spans="1:31" ht="15" customHeight="1">
      <c r="A173" s="11" t="str">
        <f>IF(B173="","","W"&amp;B173&amp;"-"&amp;TEXT(COUNTIF($B$5:B173,B173),"000"))</f>
        <v/>
      </c>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row>
    <row r="174" spans="1:31" ht="15" customHeight="1">
      <c r="A174" s="11" t="str">
        <f>IF(B174="","","W"&amp;B174&amp;"-"&amp;TEXT(COUNTIF($B$5:B174,B174),"000"))</f>
        <v/>
      </c>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row>
    <row r="175" spans="1:31" ht="15" customHeight="1">
      <c r="A175" s="11" t="str">
        <f>IF(B175="","","W"&amp;B175&amp;"-"&amp;TEXT(COUNTIF($B$5:B175,B175),"000"))</f>
        <v/>
      </c>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spans="1:31" ht="15" customHeight="1">
      <c r="A176" s="11" t="str">
        <f>IF(B176="","","W"&amp;B176&amp;"-"&amp;TEXT(COUNTIF($B$5:B176,B176),"000"))</f>
        <v/>
      </c>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row>
    <row r="177" spans="1:31" ht="15" customHeight="1">
      <c r="A177" s="11" t="str">
        <f>IF(B177="","","W"&amp;B177&amp;"-"&amp;TEXT(COUNTIF($B$5:B177,B177),"000"))</f>
        <v/>
      </c>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row>
    <row r="178" spans="1:31" ht="15" customHeight="1">
      <c r="A178" s="11" t="str">
        <f>IF(B178="","","W"&amp;B178&amp;"-"&amp;TEXT(COUNTIF($B$5:B178,B178),"000"))</f>
        <v/>
      </c>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row>
    <row r="179" spans="1:31" ht="15" customHeight="1">
      <c r="A179" s="11" t="str">
        <f>IF(B179="","","W"&amp;B179&amp;"-"&amp;TEXT(COUNTIF($B$5:B179,B179),"000"))</f>
        <v/>
      </c>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row>
    <row r="180" spans="1:31" ht="15" customHeight="1">
      <c r="A180" s="11" t="str">
        <f>IF(B180="","","W"&amp;B180&amp;"-"&amp;TEXT(COUNTIF($B$5:B180,B180),"000"))</f>
        <v/>
      </c>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row>
    <row r="181" spans="1:31" ht="15" customHeight="1">
      <c r="A181" s="11" t="str">
        <f>IF(B181="","","W"&amp;B181&amp;"-"&amp;TEXT(COUNTIF($B$5:B181,B181),"000"))</f>
        <v/>
      </c>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row>
    <row r="182" spans="1:31" ht="15" customHeight="1">
      <c r="A182" s="11" t="str">
        <f>IF(B182="","","W"&amp;B182&amp;"-"&amp;TEXT(COUNTIF($B$5:B182,B182),"000"))</f>
        <v/>
      </c>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row>
    <row r="183" spans="1:31" ht="15" customHeight="1">
      <c r="A183" s="11" t="str">
        <f>IF(B183="","","W"&amp;B183&amp;"-"&amp;TEXT(COUNTIF($B$5:B183,B183),"000"))</f>
        <v/>
      </c>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row>
    <row r="184" spans="1:31" ht="15" customHeight="1">
      <c r="A184" s="11" t="str">
        <f>IF(B184="","","W"&amp;B184&amp;"-"&amp;TEXT(COUNTIF($B$5:B184,B184),"000"))</f>
        <v/>
      </c>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row>
    <row r="185" spans="1:31" ht="15" customHeight="1">
      <c r="A185" s="11" t="str">
        <f>IF(B185="","","W"&amp;B185&amp;"-"&amp;TEXT(COUNTIF($B$5:B185,B185),"000"))</f>
        <v/>
      </c>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row>
    <row r="186" spans="1:31" ht="15" customHeight="1">
      <c r="A186" s="11" t="str">
        <f>IF(B186="","","W"&amp;B186&amp;"-"&amp;TEXT(COUNTIF($B$5:B186,B186),"000"))</f>
        <v/>
      </c>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row>
    <row r="187" spans="1:31" ht="15" customHeight="1">
      <c r="A187" s="11" t="str">
        <f>IF(B187="","","W"&amp;B187&amp;"-"&amp;TEXT(COUNTIF($B$5:B187,B187),"000"))</f>
        <v/>
      </c>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row>
    <row r="188" spans="1:31" ht="15" customHeight="1">
      <c r="A188" s="11" t="str">
        <f>IF(B188="","","W"&amp;B188&amp;"-"&amp;TEXT(COUNTIF($B$5:B188,B188),"000"))</f>
        <v/>
      </c>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row>
    <row r="189" spans="1:31" ht="15" customHeight="1">
      <c r="A189" s="11" t="str">
        <f>IF(B189="","","W"&amp;B189&amp;"-"&amp;TEXT(COUNTIF($B$5:B189,B189),"000"))</f>
        <v/>
      </c>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row>
    <row r="190" spans="1:31" ht="15" customHeight="1">
      <c r="A190" s="11" t="str">
        <f>IF(B190="","","W"&amp;B190&amp;"-"&amp;TEXT(COUNTIF($B$5:B190,B190),"000"))</f>
        <v/>
      </c>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row>
    <row r="191" spans="1:31" ht="15" customHeight="1">
      <c r="A191" s="11" t="str">
        <f>IF(B191="","","W"&amp;B191&amp;"-"&amp;TEXT(COUNTIF($B$5:B191,B191),"000"))</f>
        <v/>
      </c>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row>
    <row r="192" spans="1:31" ht="15" customHeight="1">
      <c r="A192" s="11" t="str">
        <f>IF(B192="","","W"&amp;B192&amp;"-"&amp;TEXT(COUNTIF($B$5:B192,B192),"000"))</f>
        <v/>
      </c>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row>
    <row r="193" spans="1:31" ht="15" customHeight="1">
      <c r="A193" s="11" t="str">
        <f>IF(B193="","","W"&amp;B193&amp;"-"&amp;TEXT(COUNTIF($B$5:B193,B193),"000"))</f>
        <v/>
      </c>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row>
    <row r="194" spans="1:31" ht="15" customHeight="1">
      <c r="A194" s="11" t="str">
        <f>IF(B194="","","W"&amp;B194&amp;"-"&amp;TEXT(COUNTIF($B$5:B194,B194),"000"))</f>
        <v/>
      </c>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row>
    <row r="195" spans="1:31" ht="15" customHeight="1">
      <c r="A195" s="11" t="str">
        <f>IF(B195="","","W"&amp;B195&amp;"-"&amp;TEXT(COUNTIF($B$5:B195,B195),"000"))</f>
        <v/>
      </c>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row>
    <row r="196" spans="1:31" ht="15" customHeight="1">
      <c r="A196" s="11" t="str">
        <f>IF(B196="","","W"&amp;B196&amp;"-"&amp;TEXT(COUNTIF($B$5:B196,B196),"000"))</f>
        <v/>
      </c>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row>
    <row r="197" spans="1:31" ht="15" customHeight="1">
      <c r="A197" s="11" t="str">
        <f>IF(B197="","","W"&amp;B197&amp;"-"&amp;TEXT(COUNTIF($B$5:B197,B197),"000"))</f>
        <v/>
      </c>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row>
    <row r="198" spans="1:31" ht="15" customHeight="1">
      <c r="A198" s="11" t="str">
        <f>IF(B198="","","W"&amp;B198&amp;"-"&amp;TEXT(COUNTIF($B$5:B198,B198),"000"))</f>
        <v/>
      </c>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row>
    <row r="199" spans="1:31" ht="15" customHeight="1">
      <c r="A199" s="11" t="str">
        <f>IF(B199="","","W"&amp;B199&amp;"-"&amp;TEXT(COUNTIF($B$5:B199,B199),"000"))</f>
        <v/>
      </c>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row>
    <row r="200" spans="1:31" ht="15" customHeight="1">
      <c r="A200" s="11" t="str">
        <f>IF(B200="","","W"&amp;B200&amp;"-"&amp;TEXT(COUNTIF($B$5:B200,B200),"000"))</f>
        <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row>
    <row r="201" spans="1:31" ht="15" customHeight="1">
      <c r="A201" s="11" t="str">
        <f>IF(B201="","","W"&amp;B201&amp;"-"&amp;TEXT(COUNTIF($B$5:B201,B201),"000"))</f>
        <v/>
      </c>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row>
    <row r="202" spans="1:31" ht="15" customHeight="1">
      <c r="A202" s="11" t="str">
        <f>IF(B202="","","W"&amp;B202&amp;"-"&amp;TEXT(COUNTIF($B$5:B202,B202),"000"))</f>
        <v/>
      </c>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row>
    <row r="203" spans="1:31" ht="15" customHeight="1">
      <c r="A203" s="11" t="str">
        <f>IF(B203="","","W"&amp;B203&amp;"-"&amp;TEXT(COUNTIF($B$5:B203,B203),"000"))</f>
        <v/>
      </c>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row>
    <row r="204" spans="1:31" ht="15" customHeight="1">
      <c r="A204" s="11" t="str">
        <f>IF(B204="","","W"&amp;B204&amp;"-"&amp;TEXT(COUNTIF($B$5:B204,B204),"000"))</f>
        <v/>
      </c>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row>
    <row r="205" spans="1:31" ht="15" customHeight="1">
      <c r="A205" s="11" t="str">
        <f>IF(B205="","","W"&amp;B205&amp;"-"&amp;TEXT(COUNTIF($B$5:B205,B205),"000"))</f>
        <v/>
      </c>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row>
    <row r="206" spans="1:31" ht="15" customHeight="1">
      <c r="A206" s="11" t="str">
        <f>IF(B206="","","W"&amp;B206&amp;"-"&amp;TEXT(COUNTIF($B$5:B206,B206),"000"))</f>
        <v/>
      </c>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row>
    <row r="207" spans="1:31" ht="15" customHeight="1">
      <c r="A207" s="11" t="str">
        <f>IF(B207="","","W"&amp;B207&amp;"-"&amp;TEXT(COUNTIF($B$5:B207,B207),"000"))</f>
        <v/>
      </c>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row>
    <row r="208" spans="1:31" ht="15" customHeight="1">
      <c r="A208" s="11" t="str">
        <f>IF(B208="","","W"&amp;B208&amp;"-"&amp;TEXT(COUNTIF($B$5:B208,B208),"000"))</f>
        <v/>
      </c>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row>
    <row r="209" spans="1:31" ht="15" customHeight="1">
      <c r="A209" s="11" t="str">
        <f>IF(B209="","","W"&amp;B209&amp;"-"&amp;TEXT(COUNTIF($B$5:B209,B209),"000"))</f>
        <v/>
      </c>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row>
    <row r="210" spans="1:31" ht="15" customHeight="1">
      <c r="A210" s="11" t="str">
        <f>IF(B210="","","W"&amp;B210&amp;"-"&amp;TEXT(COUNTIF($B$5:B210,B210),"000"))</f>
        <v/>
      </c>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row>
    <row r="211" spans="1:31" ht="15" customHeight="1">
      <c r="A211" s="11" t="str">
        <f>IF(B211="","","W"&amp;B211&amp;"-"&amp;TEXT(COUNTIF($B$5:B211,B211),"000"))</f>
        <v/>
      </c>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row>
    <row r="212" spans="1:31" ht="15" customHeight="1">
      <c r="A212" s="11" t="str">
        <f>IF(B212="","","W"&amp;B212&amp;"-"&amp;TEXT(COUNTIF($B$5:B212,B212),"000"))</f>
        <v/>
      </c>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row>
    <row r="213" spans="1:31" ht="15" customHeight="1">
      <c r="A213" s="11" t="str">
        <f>IF(B213="","","W"&amp;B213&amp;"-"&amp;TEXT(COUNTIF($B$5:B213,B213),"000"))</f>
        <v/>
      </c>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row>
    <row r="214" spans="1:31" ht="15" customHeight="1">
      <c r="A214" s="11" t="str">
        <f>IF(B214="","","W"&amp;B214&amp;"-"&amp;TEXT(COUNTIF($B$5:B214,B214),"000"))</f>
        <v/>
      </c>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row>
    <row r="215" spans="1:31" ht="15" customHeight="1">
      <c r="A215" s="11" t="str">
        <f>IF(B215="","","W"&amp;B215&amp;"-"&amp;TEXT(COUNTIF($B$5:B215,B215),"000"))</f>
        <v/>
      </c>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row>
    <row r="216" spans="1:31" ht="15" customHeight="1">
      <c r="A216" s="11" t="str">
        <f>IF(B216="","","W"&amp;B216&amp;"-"&amp;TEXT(COUNTIF($B$5:B216,B216),"000"))</f>
        <v/>
      </c>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row>
    <row r="217" spans="1:31" ht="15" customHeight="1">
      <c r="A217" s="11" t="str">
        <f>IF(B217="","","W"&amp;B217&amp;"-"&amp;TEXT(COUNTIF($B$5:B217,B217),"000"))</f>
        <v/>
      </c>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row>
    <row r="218" spans="1:31" ht="15" customHeight="1">
      <c r="A218" s="11" t="str">
        <f>IF(B218="","","W"&amp;B218&amp;"-"&amp;TEXT(COUNTIF($B$5:B218,B218),"000"))</f>
        <v/>
      </c>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row>
    <row r="219" spans="1:31" ht="15" customHeight="1">
      <c r="A219" s="11" t="str">
        <f>IF(B219="","","W"&amp;B219&amp;"-"&amp;TEXT(COUNTIF($B$5:B219,B219),"000"))</f>
        <v/>
      </c>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row>
    <row r="220" spans="1:31" ht="15" customHeight="1">
      <c r="A220" s="11" t="str">
        <f>IF(B220="","","W"&amp;B220&amp;"-"&amp;TEXT(COUNTIF($B$5:B220,B220),"000"))</f>
        <v/>
      </c>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row>
    <row r="221" spans="1:31" ht="15" customHeight="1">
      <c r="A221" s="11" t="str">
        <f>IF(B221="","","W"&amp;B221&amp;"-"&amp;TEXT(COUNTIF($B$5:B221,B221),"000"))</f>
        <v/>
      </c>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row>
    <row r="222" spans="1:31" ht="15" customHeight="1">
      <c r="A222" s="11" t="str">
        <f>IF(B222="","","W"&amp;B222&amp;"-"&amp;TEXT(COUNTIF($B$5:B222,B222),"000"))</f>
        <v/>
      </c>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row>
    <row r="223" spans="1:31" ht="15" customHeight="1">
      <c r="A223" s="11" t="str">
        <f>IF(B223="","","W"&amp;B223&amp;"-"&amp;TEXT(COUNTIF($B$5:B223,B223),"000"))</f>
        <v/>
      </c>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row>
    <row r="224" spans="1:31" ht="15" customHeight="1">
      <c r="A224" s="11" t="str">
        <f>IF(B224="","","W"&amp;B224&amp;"-"&amp;TEXT(COUNTIF($B$5:B224,B224),"000"))</f>
        <v/>
      </c>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row>
    <row r="225" spans="1:31" ht="15" customHeight="1">
      <c r="A225" s="11" t="str">
        <f>IF(B225="","","W"&amp;B225&amp;"-"&amp;TEXT(COUNTIF($B$5:B225,B225),"000"))</f>
        <v/>
      </c>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row>
    <row r="226" spans="1:31" ht="15" customHeight="1">
      <c r="A226" s="11" t="str">
        <f>IF(B226="","","W"&amp;B226&amp;"-"&amp;TEXT(COUNTIF($B$5:B226,B226),"000"))</f>
        <v/>
      </c>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row>
    <row r="227" spans="1:31" ht="15" customHeight="1">
      <c r="A227" s="11" t="str">
        <f>IF(B227="","","W"&amp;B227&amp;"-"&amp;TEXT(COUNTIF($B$5:B227,B227),"000"))</f>
        <v/>
      </c>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row>
    <row r="228" spans="1:31" ht="15" customHeight="1">
      <c r="A228" s="11" t="str">
        <f>IF(B228="","","W"&amp;B228&amp;"-"&amp;TEXT(COUNTIF($B$5:B228,B228),"000"))</f>
        <v/>
      </c>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row>
    <row r="229" spans="1:31" ht="15" customHeight="1">
      <c r="A229" s="11" t="str">
        <f>IF(B229="","","W"&amp;B229&amp;"-"&amp;TEXT(COUNTIF($B$5:B229,B229),"000"))</f>
        <v/>
      </c>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row>
    <row r="230" spans="1:31" ht="15" customHeight="1">
      <c r="A230" s="11" t="str">
        <f>IF(B230="","","W"&amp;B230&amp;"-"&amp;TEXT(COUNTIF($B$5:B230,B230),"000"))</f>
        <v/>
      </c>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row>
    <row r="231" spans="1:31" ht="15" customHeight="1">
      <c r="A231" s="11" t="str">
        <f>IF(B231="","","W"&amp;B231&amp;"-"&amp;TEXT(COUNTIF($B$5:B231,B231),"000"))</f>
        <v/>
      </c>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row>
    <row r="232" spans="1:31" ht="15" customHeight="1">
      <c r="A232" s="11" t="str">
        <f>IF(B232="","","W"&amp;B232&amp;"-"&amp;TEXT(COUNTIF($B$5:B232,B232),"000"))</f>
        <v/>
      </c>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row>
    <row r="233" spans="1:31" ht="15" customHeight="1">
      <c r="A233" s="11" t="str">
        <f>IF(B233="","","W"&amp;B233&amp;"-"&amp;TEXT(COUNTIF($B$5:B233,B233),"000"))</f>
        <v/>
      </c>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row>
    <row r="234" spans="1:31" ht="15" customHeight="1">
      <c r="A234" s="11" t="str">
        <f>IF(B234="","","W"&amp;B234&amp;"-"&amp;TEXT(COUNTIF($B$5:B234,B234),"000"))</f>
        <v/>
      </c>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row>
    <row r="235" spans="1:31" ht="15" customHeight="1">
      <c r="A235" s="11" t="str">
        <f>IF(B235="","","W"&amp;B235&amp;"-"&amp;TEXT(COUNTIF($B$5:B235,B235),"000"))</f>
        <v/>
      </c>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row>
    <row r="236" spans="1:31" ht="15" customHeight="1">
      <c r="A236" s="11" t="str">
        <f>IF(B236="","","W"&amp;B236&amp;"-"&amp;TEXT(COUNTIF($B$5:B236,B236),"000"))</f>
        <v/>
      </c>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row>
    <row r="237" spans="1:31" ht="15" customHeight="1">
      <c r="A237" s="11" t="str">
        <f>IF(B237="","","W"&amp;B237&amp;"-"&amp;TEXT(COUNTIF($B$5:B237,B237),"000"))</f>
        <v/>
      </c>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row>
    <row r="238" spans="1:31" ht="15" customHeight="1">
      <c r="A238" s="11" t="str">
        <f>IF(B238="","","W"&amp;B238&amp;"-"&amp;TEXT(COUNTIF($B$5:B238,B238),"000"))</f>
        <v/>
      </c>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row>
    <row r="239" spans="1:31" ht="15" customHeight="1">
      <c r="A239" s="11" t="str">
        <f>IF(B239="","","W"&amp;B239&amp;"-"&amp;TEXT(COUNTIF($B$5:B239,B239),"000"))</f>
        <v/>
      </c>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row>
    <row r="240" spans="1:31" ht="15" customHeight="1">
      <c r="A240" s="11" t="str">
        <f>IF(B240="","","W"&amp;B240&amp;"-"&amp;TEXT(COUNTIF($B$5:B240,B240),"000"))</f>
        <v/>
      </c>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row>
    <row r="241" spans="1:31" ht="15" customHeight="1">
      <c r="A241" s="11" t="str">
        <f>IF(B241="","","W"&amp;B241&amp;"-"&amp;TEXT(COUNTIF($B$5:B241,B241),"000"))</f>
        <v/>
      </c>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row>
    <row r="242" spans="1:31" ht="15" customHeight="1">
      <c r="A242" s="11" t="str">
        <f>IF(B242="","","W"&amp;B242&amp;"-"&amp;TEXT(COUNTIF($B$5:B242,B242),"000"))</f>
        <v/>
      </c>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row>
    <row r="243" spans="1:31" ht="15" customHeight="1">
      <c r="A243" s="11" t="str">
        <f>IF(B243="","","W"&amp;B243&amp;"-"&amp;TEXT(COUNTIF($B$5:B243,B243),"000"))</f>
        <v/>
      </c>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row>
    <row r="244" spans="1:31" ht="15" customHeight="1">
      <c r="A244" s="11" t="str">
        <f>IF(B244="","","W"&amp;B244&amp;"-"&amp;TEXT(COUNTIF($B$5:B244,B244),"000"))</f>
        <v/>
      </c>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row>
    <row r="245" spans="1:31" ht="15" customHeight="1">
      <c r="A245" s="11" t="str">
        <f>IF(B245="","","W"&amp;B245&amp;"-"&amp;TEXT(COUNTIF($B$5:B245,B245),"000"))</f>
        <v/>
      </c>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row>
    <row r="246" spans="1:31" ht="15" customHeight="1">
      <c r="A246" s="11" t="str">
        <f>IF(B246="","","W"&amp;B246&amp;"-"&amp;TEXT(COUNTIF($B$5:B246,B246),"000"))</f>
        <v/>
      </c>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row>
    <row r="247" spans="1:31" ht="15" customHeight="1">
      <c r="A247" s="11" t="str">
        <f>IF(B247="","","W"&amp;B247&amp;"-"&amp;TEXT(COUNTIF($B$5:B247,B247),"000"))</f>
        <v/>
      </c>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row>
    <row r="248" spans="1:31" ht="15" customHeight="1">
      <c r="A248" s="11" t="str">
        <f>IF(B248="","","W"&amp;B248&amp;"-"&amp;TEXT(COUNTIF($B$5:B248,B248),"000"))</f>
        <v/>
      </c>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row>
    <row r="249" spans="1:31" ht="15" customHeight="1">
      <c r="A249" s="11" t="str">
        <f>IF(B249="","","W"&amp;B249&amp;"-"&amp;TEXT(COUNTIF($B$5:B249,B249),"000"))</f>
        <v/>
      </c>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row>
    <row r="250" spans="1:31" ht="15" customHeight="1">
      <c r="A250" s="11" t="str">
        <f>IF(B250="","","W"&amp;B250&amp;"-"&amp;TEXT(COUNTIF($B$5:B250,B250),"000"))</f>
        <v/>
      </c>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row>
    <row r="251" spans="1:31" ht="15" customHeight="1">
      <c r="A251" s="11" t="str">
        <f>IF(B251="","","W"&amp;B251&amp;"-"&amp;TEXT(COUNTIF($B$5:B251,B251),"000"))</f>
        <v/>
      </c>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row>
    <row r="252" spans="1:31" ht="15" customHeight="1">
      <c r="A252" s="11" t="str">
        <f>IF(B252="","","W"&amp;B252&amp;"-"&amp;TEXT(COUNTIF($B$5:B252,B252),"000"))</f>
        <v/>
      </c>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row>
    <row r="253" spans="1:31" ht="15" customHeight="1">
      <c r="A253" s="11" t="str">
        <f>IF(B253="","","W"&amp;B253&amp;"-"&amp;TEXT(COUNTIF($B$5:B253,B253),"000"))</f>
        <v/>
      </c>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row>
    <row r="254" spans="1:31" ht="15" customHeight="1">
      <c r="A254" s="11" t="str">
        <f>IF(B254="","","W"&amp;B254&amp;"-"&amp;TEXT(COUNTIF($B$5:B254,B254),"000"))</f>
        <v/>
      </c>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row>
    <row r="255" spans="1:31" ht="15" customHeight="1">
      <c r="A255" s="11" t="str">
        <f>IF(B255="","","W"&amp;B255&amp;"-"&amp;TEXT(COUNTIF($B$5:B255,B255),"000"))</f>
        <v/>
      </c>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row>
    <row r="256" spans="1:31" ht="15" customHeight="1">
      <c r="A256" s="11" t="str">
        <f>IF(B256="","","W"&amp;B256&amp;"-"&amp;TEXT(COUNTIF($B$5:B256,B256),"000"))</f>
        <v/>
      </c>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row>
    <row r="257" spans="1:31" ht="15" customHeight="1">
      <c r="A257" s="11" t="str">
        <f>IF(B257="","","W"&amp;B257&amp;"-"&amp;TEXT(COUNTIF($B$5:B257,B257),"000"))</f>
        <v/>
      </c>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row>
    <row r="258" spans="1:31" ht="15" customHeight="1">
      <c r="A258" s="11" t="str">
        <f>IF(B258="","","W"&amp;B258&amp;"-"&amp;TEXT(COUNTIF($B$5:B258,B258),"000"))</f>
        <v/>
      </c>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row>
    <row r="259" spans="1:31" ht="15" customHeight="1">
      <c r="A259" s="11" t="str">
        <f>IF(B259="","","W"&amp;B259&amp;"-"&amp;TEXT(COUNTIF($B$5:B259,B259),"000"))</f>
        <v/>
      </c>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row>
    <row r="260" spans="1:31" ht="15" customHeight="1">
      <c r="A260" s="11" t="str">
        <f>IF(B260="","","W"&amp;B260&amp;"-"&amp;TEXT(COUNTIF($B$5:B260,B260),"000"))</f>
        <v/>
      </c>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row>
    <row r="261" spans="1:31" ht="15" customHeight="1">
      <c r="A261" s="11" t="str">
        <f>IF(B261="","","W"&amp;B261&amp;"-"&amp;TEXT(COUNTIF($B$5:B261,B261),"000"))</f>
        <v/>
      </c>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row>
    <row r="262" spans="1:31" ht="15" customHeight="1">
      <c r="A262" s="11" t="str">
        <f>IF(B262="","","W"&amp;B262&amp;"-"&amp;TEXT(COUNTIF($B$5:B262,B262),"000"))</f>
        <v/>
      </c>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row>
    <row r="263" spans="1:31" ht="15" customHeight="1">
      <c r="A263" s="11" t="str">
        <f>IF(B263="","","W"&amp;B263&amp;"-"&amp;TEXT(COUNTIF($B$5:B263,B263),"000"))</f>
        <v/>
      </c>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row>
    <row r="264" spans="1:31" ht="15" customHeight="1">
      <c r="A264" s="11" t="str">
        <f>IF(B264="","","W"&amp;B264&amp;"-"&amp;TEXT(COUNTIF($B$5:B264,B264),"000"))</f>
        <v/>
      </c>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row>
    <row r="265" spans="1:31" ht="15" customHeight="1">
      <c r="A265" s="11" t="str">
        <f>IF(B265="","","W"&amp;B265&amp;"-"&amp;TEXT(COUNTIF($B$5:B265,B265),"000"))</f>
        <v/>
      </c>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row>
    <row r="266" spans="1:31" ht="15" customHeight="1">
      <c r="A266" s="11" t="str">
        <f>IF(B266="","","W"&amp;B266&amp;"-"&amp;TEXT(COUNTIF($B$5:B266,B266),"000"))</f>
        <v/>
      </c>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row>
    <row r="267" spans="1:31" ht="15" customHeight="1">
      <c r="A267" s="11" t="str">
        <f>IF(B267="","","W"&amp;B267&amp;"-"&amp;TEXT(COUNTIF($B$5:B267,B267),"000"))</f>
        <v/>
      </c>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row>
    <row r="268" spans="1:31" ht="15" customHeight="1">
      <c r="A268" s="11" t="str">
        <f>IF(B268="","","W"&amp;B268&amp;"-"&amp;TEXT(COUNTIF($B$5:B268,B268),"000"))</f>
        <v/>
      </c>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row>
    <row r="269" spans="1:31" ht="15" customHeight="1">
      <c r="A269" s="11" t="str">
        <f>IF(B269="","","W"&amp;B269&amp;"-"&amp;TEXT(COUNTIF($B$5:B269,B269),"000"))</f>
        <v/>
      </c>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row>
    <row r="270" spans="1:31" ht="15" customHeight="1">
      <c r="A270" s="11" t="str">
        <f>IF(B270="","","W"&amp;B270&amp;"-"&amp;TEXT(COUNTIF($B$5:B270,B270),"000"))</f>
        <v/>
      </c>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row>
    <row r="271" spans="1:31" ht="15" customHeight="1">
      <c r="A271" s="11" t="str">
        <f>IF(B271="","","W"&amp;B271&amp;"-"&amp;TEXT(COUNTIF($B$5:B271,B271),"000"))</f>
        <v/>
      </c>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row>
    <row r="272" spans="1:31" ht="15" customHeight="1">
      <c r="A272" s="11" t="str">
        <f>IF(B272="","","W"&amp;B272&amp;"-"&amp;TEXT(COUNTIF($B$5:B272,B272),"000"))</f>
        <v/>
      </c>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row>
    <row r="273" spans="1:31" ht="15" customHeight="1">
      <c r="A273" s="11" t="str">
        <f>IF(B273="","","W"&amp;B273&amp;"-"&amp;TEXT(COUNTIF($B$5:B273,B273),"000"))</f>
        <v/>
      </c>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spans="1:31" ht="15" customHeight="1">
      <c r="A274" s="11" t="str">
        <f>IF(B274="","","W"&amp;B274&amp;"-"&amp;TEXT(COUNTIF($B$5:B274,B274),"000"))</f>
        <v/>
      </c>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row>
    <row r="275" spans="1:31" ht="15" customHeight="1">
      <c r="A275" s="11" t="str">
        <f>IF(B275="","","W"&amp;B275&amp;"-"&amp;TEXT(COUNTIF($B$5:B275,B275),"000"))</f>
        <v/>
      </c>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row>
    <row r="276" spans="1:31" ht="15" customHeight="1">
      <c r="A276" s="11" t="str">
        <f>IF(B276="","","W"&amp;B276&amp;"-"&amp;TEXT(COUNTIF($B$5:B276,B276),"000"))</f>
        <v/>
      </c>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row>
    <row r="277" spans="1:31" ht="15" customHeight="1">
      <c r="A277" s="11" t="str">
        <f>IF(B277="","","W"&amp;B277&amp;"-"&amp;TEXT(COUNTIF($B$5:B277,B277),"000"))</f>
        <v/>
      </c>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row>
    <row r="278" spans="1:31" ht="15" customHeight="1">
      <c r="A278" s="11" t="str">
        <f>IF(B278="","","W"&amp;B278&amp;"-"&amp;TEXT(COUNTIF($B$5:B278,B278),"000"))</f>
        <v/>
      </c>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row>
    <row r="279" spans="1:31" ht="15" customHeight="1">
      <c r="A279" s="11" t="str">
        <f>IF(B279="","","W"&amp;B279&amp;"-"&amp;TEXT(COUNTIF($B$5:B279,B279),"000"))</f>
        <v/>
      </c>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row>
    <row r="280" spans="1:31" ht="15" customHeight="1">
      <c r="A280" s="11" t="str">
        <f>IF(B280="","","W"&amp;B280&amp;"-"&amp;TEXT(COUNTIF($B$5:B280,B280),"000"))</f>
        <v/>
      </c>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row>
    <row r="281" spans="1:31" ht="15" customHeight="1">
      <c r="A281" s="11" t="str">
        <f>IF(B281="","","W"&amp;B281&amp;"-"&amp;TEXT(COUNTIF($B$5:B281,B281),"000"))</f>
        <v/>
      </c>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row>
    <row r="282" spans="1:31" ht="15" customHeight="1">
      <c r="A282" s="11" t="str">
        <f>IF(B282="","","W"&amp;B282&amp;"-"&amp;TEXT(COUNTIF($B$5:B282,B282),"000"))</f>
        <v/>
      </c>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row>
    <row r="283" spans="1:31" ht="15" customHeight="1">
      <c r="A283" s="11" t="str">
        <f>IF(B283="","","W"&amp;B283&amp;"-"&amp;TEXT(COUNTIF($B$5:B283,B283),"000"))</f>
        <v/>
      </c>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row>
    <row r="284" spans="1:31" ht="15" customHeight="1">
      <c r="A284" s="11" t="str">
        <f>IF(B284="","","W"&amp;B284&amp;"-"&amp;TEXT(COUNTIF($B$5:B284,B284),"000"))</f>
        <v/>
      </c>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spans="1:31" ht="15" customHeight="1">
      <c r="A285" s="11" t="str">
        <f>IF(B285="","","W"&amp;B285&amp;"-"&amp;TEXT(COUNTIF($B$5:B285,B285),"000"))</f>
        <v/>
      </c>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spans="1:31" ht="15" customHeight="1">
      <c r="A286" s="11" t="str">
        <f>IF(B286="","","W"&amp;B286&amp;"-"&amp;TEXT(COUNTIF($B$5:B286,B286),"000"))</f>
        <v/>
      </c>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spans="1:31" ht="15" customHeight="1">
      <c r="A287" s="11" t="str">
        <f>IF(B287="","","W"&amp;B287&amp;"-"&amp;TEXT(COUNTIF($B$5:B287,B287),"000"))</f>
        <v/>
      </c>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spans="1:31" ht="15" customHeight="1">
      <c r="A288" s="11" t="str">
        <f>IF(B288="","","W"&amp;B288&amp;"-"&amp;TEXT(COUNTIF($B$5:B288,B288),"000"))</f>
        <v/>
      </c>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spans="1:31" ht="15" customHeight="1">
      <c r="A289" s="11" t="str">
        <f>IF(B289="","","W"&amp;B289&amp;"-"&amp;TEXT(COUNTIF($B$5:B289,B289),"000"))</f>
        <v/>
      </c>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spans="1:31" ht="15" customHeight="1">
      <c r="A290" s="11" t="str">
        <f>IF(B290="","","W"&amp;B290&amp;"-"&amp;TEXT(COUNTIF($B$5:B290,B290),"000"))</f>
        <v/>
      </c>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spans="1:31" ht="15" customHeight="1">
      <c r="A291" s="11" t="str">
        <f>IF(B291="","","W"&amp;B291&amp;"-"&amp;TEXT(COUNTIF($B$5:B291,B291),"000"))</f>
        <v/>
      </c>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spans="1:31" ht="15" customHeight="1">
      <c r="A292" s="11" t="str">
        <f>IF(B292="","","W"&amp;B292&amp;"-"&amp;TEXT(COUNTIF($B$5:B292,B292),"000"))</f>
        <v/>
      </c>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spans="1:31" ht="15" customHeight="1">
      <c r="A293" s="11" t="str">
        <f>IF(B293="","","W"&amp;B293&amp;"-"&amp;TEXT(COUNTIF($B$5:B293,B293),"000"))</f>
        <v/>
      </c>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spans="1:31" ht="15" customHeight="1">
      <c r="A294" s="11" t="str">
        <f>IF(B294="","","W"&amp;B294&amp;"-"&amp;TEXT(COUNTIF($B$5:B294,B294),"000"))</f>
        <v/>
      </c>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spans="1:31" ht="15" customHeight="1">
      <c r="A295" s="11" t="str">
        <f>IF(B295="","","W"&amp;B295&amp;"-"&amp;TEXT(COUNTIF($B$5:B295,B295),"000"))</f>
        <v/>
      </c>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spans="1:31" ht="15" customHeight="1">
      <c r="A296" s="11" t="str">
        <f>IF(B296="","","W"&amp;B296&amp;"-"&amp;TEXT(COUNTIF($B$5:B296,B296),"000"))</f>
        <v/>
      </c>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spans="1:31" ht="15" customHeight="1">
      <c r="A297" s="11" t="str">
        <f>IF(B297="","","W"&amp;B297&amp;"-"&amp;TEXT(COUNTIF($B$5:B297,B297),"000"))</f>
        <v/>
      </c>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spans="1:31" ht="15" customHeight="1">
      <c r="A298" s="11" t="str">
        <f>IF(B298="","","W"&amp;B298&amp;"-"&amp;TEXT(COUNTIF($B$5:B298,B298),"000"))</f>
        <v/>
      </c>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spans="1:31" ht="15" customHeight="1">
      <c r="A299" s="11" t="str">
        <f>IF(B299="","","W"&amp;B299&amp;"-"&amp;TEXT(COUNTIF($B$5:B299,B299),"000"))</f>
        <v/>
      </c>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spans="1:31" ht="15" customHeight="1">
      <c r="A300" s="11" t="str">
        <f>IF(B300="","","W"&amp;B300&amp;"-"&amp;TEXT(COUNTIF($B$5:B300,B300),"000"))</f>
        <v/>
      </c>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spans="1:31" ht="15" customHeight="1">
      <c r="A301" s="11" t="str">
        <f>IF(B301="","","W"&amp;B301&amp;"-"&amp;TEXT(COUNTIF($B$5:B301,B301),"000"))</f>
        <v/>
      </c>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spans="1:31" ht="15" customHeight="1">
      <c r="A302" s="11" t="str">
        <f>IF(B302="","","W"&amp;B302&amp;"-"&amp;TEXT(COUNTIF($B$5:B302,B302),"000"))</f>
        <v/>
      </c>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spans="1:31" ht="15" customHeight="1">
      <c r="A303" s="11" t="str">
        <f>IF(B303="","","W"&amp;B303&amp;"-"&amp;TEXT(COUNTIF($B$5:B303,B303),"000"))</f>
        <v/>
      </c>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spans="1:31" ht="15" customHeight="1">
      <c r="A304" s="11" t="str">
        <f>IF(B304="","","W"&amp;B304&amp;"-"&amp;TEXT(COUNTIF($B$5:B304,B304),"000"))</f>
        <v/>
      </c>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spans="1:31" ht="15" customHeight="1">
      <c r="A305" s="11" t="str">
        <f>IF(B305="","","W"&amp;B305&amp;"-"&amp;TEXT(COUNTIF($B$5:B305,B305),"000"))</f>
        <v/>
      </c>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spans="1:31" ht="15" customHeight="1">
      <c r="A306" s="11" t="str">
        <f>IF(B306="","","W"&amp;B306&amp;"-"&amp;TEXT(COUNTIF($B$5:B306,B306),"000"))</f>
        <v/>
      </c>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spans="1:31" ht="15" customHeight="1">
      <c r="A307" s="11" t="str">
        <f>IF(B307="","","W"&amp;B307&amp;"-"&amp;TEXT(COUNTIF($B$5:B307,B307),"000"))</f>
        <v/>
      </c>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spans="1:31" ht="15" customHeight="1">
      <c r="A308" s="11" t="str">
        <f>IF(B308="","","W"&amp;B308&amp;"-"&amp;TEXT(COUNTIF($B$5:B308,B308),"000"))</f>
        <v/>
      </c>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spans="1:31" ht="15" customHeight="1">
      <c r="A309" s="11" t="str">
        <f>IF(B309="","","W"&amp;B309&amp;"-"&amp;TEXT(COUNTIF($B$5:B309,B309),"000"))</f>
        <v/>
      </c>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spans="1:31" ht="15" customHeight="1">
      <c r="A310" s="11" t="str">
        <f>IF(B310="","","W"&amp;B310&amp;"-"&amp;TEXT(COUNTIF($B$5:B310,B310),"000"))</f>
        <v/>
      </c>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spans="1:31" ht="15" customHeight="1">
      <c r="A311" s="11" t="str">
        <f>IF(B311="","","W"&amp;B311&amp;"-"&amp;TEXT(COUNTIF($B$5:B311,B311),"000"))</f>
        <v/>
      </c>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spans="1:31" ht="15" customHeight="1">
      <c r="A312" s="11" t="str">
        <f>IF(B312="","","W"&amp;B312&amp;"-"&amp;TEXT(COUNTIF($B$5:B312,B312),"000"))</f>
        <v/>
      </c>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spans="1:31" ht="15" customHeight="1">
      <c r="A313" s="11" t="str">
        <f>IF(B313="","","W"&amp;B313&amp;"-"&amp;TEXT(COUNTIF($B$5:B313,B313),"000"))</f>
        <v/>
      </c>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spans="1:31" ht="15" customHeight="1">
      <c r="A314" s="11" t="str">
        <f>IF(B314="","","W"&amp;B314&amp;"-"&amp;TEXT(COUNTIF($B$5:B314,B314),"000"))</f>
        <v/>
      </c>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spans="1:31" ht="15" customHeight="1">
      <c r="A315" s="11" t="str">
        <f>IF(B315="","","W"&amp;B315&amp;"-"&amp;TEXT(COUNTIF($B$5:B315,B315),"000"))</f>
        <v/>
      </c>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spans="1:31" ht="15" customHeight="1">
      <c r="A316" s="11" t="str">
        <f>IF(B316="","","W"&amp;B316&amp;"-"&amp;TEXT(COUNTIF($B$5:B316,B316),"000"))</f>
        <v/>
      </c>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spans="1:31" ht="15" customHeight="1">
      <c r="A317" s="11" t="str">
        <f>IF(B317="","","W"&amp;B317&amp;"-"&amp;TEXT(COUNTIF($B$5:B317,B317),"000"))</f>
        <v/>
      </c>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spans="1:31" ht="15" customHeight="1">
      <c r="A318" s="11" t="str">
        <f>IF(B318="","","W"&amp;B318&amp;"-"&amp;TEXT(COUNTIF($B$5:B318,B318),"000"))</f>
        <v/>
      </c>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spans="1:31" ht="15" customHeight="1">
      <c r="A319" s="11" t="str">
        <f>IF(B319="","","W"&amp;B319&amp;"-"&amp;TEXT(COUNTIF($B$5:B319,B319),"000"))</f>
        <v/>
      </c>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spans="1:31" ht="15" customHeight="1">
      <c r="A320" s="11" t="str">
        <f>IF(B320="","","W"&amp;B320&amp;"-"&amp;TEXT(COUNTIF($B$5:B320,B320),"000"))</f>
        <v/>
      </c>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spans="1:31" ht="15" customHeight="1">
      <c r="A321" s="11" t="str">
        <f>IF(B321="","","W"&amp;B321&amp;"-"&amp;TEXT(COUNTIF($B$5:B321,B321),"000"))</f>
        <v/>
      </c>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spans="1:31" ht="15" customHeight="1">
      <c r="A322" s="11" t="str">
        <f>IF(B322="","","W"&amp;B322&amp;"-"&amp;TEXT(COUNTIF($B$5:B322,B322),"000"))</f>
        <v/>
      </c>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spans="1:31" ht="15" customHeight="1">
      <c r="A323" s="11" t="str">
        <f>IF(B323="","","W"&amp;B323&amp;"-"&amp;TEXT(COUNTIF($B$5:B323,B323),"000"))</f>
        <v/>
      </c>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spans="1:31" ht="15" customHeight="1">
      <c r="A324" s="11" t="str">
        <f>IF(B324="","","W"&amp;B324&amp;"-"&amp;TEXT(COUNTIF($B$5:B324,B324),"000"))</f>
        <v/>
      </c>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spans="1:31" ht="15" customHeight="1">
      <c r="A325" s="11" t="str">
        <f>IF(B325="","","W"&amp;B325&amp;"-"&amp;TEXT(COUNTIF($B$5:B325,B325),"000"))</f>
        <v/>
      </c>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spans="1:31" ht="15" customHeight="1">
      <c r="A326" s="11" t="str">
        <f>IF(B326="","","W"&amp;B326&amp;"-"&amp;TEXT(COUNTIF($B$5:B326,B326),"000"))</f>
        <v/>
      </c>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spans="1:31" ht="15" customHeight="1">
      <c r="A327" s="11" t="str">
        <f>IF(B327="","","W"&amp;B327&amp;"-"&amp;TEXT(COUNTIF($B$5:B327,B327),"000"))</f>
        <v/>
      </c>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spans="1:31" ht="15" customHeight="1">
      <c r="A328" s="11" t="str">
        <f>IF(B328="","","W"&amp;B328&amp;"-"&amp;TEXT(COUNTIF($B$5:B328,B328),"000"))</f>
        <v/>
      </c>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spans="1:31" ht="15" customHeight="1">
      <c r="A329" s="11" t="str">
        <f>IF(B329="","","W"&amp;B329&amp;"-"&amp;TEXT(COUNTIF($B$5:B329,B329),"000"))</f>
        <v/>
      </c>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spans="1:31" ht="15" customHeight="1">
      <c r="A330" s="11" t="str">
        <f>IF(B330="","","W"&amp;B330&amp;"-"&amp;TEXT(COUNTIF($B$5:B330,B330),"000"))</f>
        <v/>
      </c>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spans="1:31" ht="15" customHeight="1">
      <c r="A331" s="11" t="str">
        <f>IF(B331="","","W"&amp;B331&amp;"-"&amp;TEXT(COUNTIF($B$5:B331,B331),"000"))</f>
        <v/>
      </c>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spans="1:31" ht="15" customHeight="1">
      <c r="A332" s="11" t="str">
        <f>IF(B332="","","W"&amp;B332&amp;"-"&amp;TEXT(COUNTIF($B$5:B332,B332),"000"))</f>
        <v/>
      </c>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spans="1:31" ht="15" customHeight="1">
      <c r="A333" s="11" t="str">
        <f>IF(B333="","","W"&amp;B333&amp;"-"&amp;TEXT(COUNTIF($B$5:B333,B333),"000"))</f>
        <v/>
      </c>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spans="1:31" ht="15" customHeight="1">
      <c r="A334" s="11" t="str">
        <f>IF(B334="","","W"&amp;B334&amp;"-"&amp;TEXT(COUNTIF($B$5:B334,B334),"000"))</f>
        <v/>
      </c>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spans="1:31" ht="15" customHeight="1">
      <c r="A335" s="11" t="str">
        <f>IF(B335="","","W"&amp;B335&amp;"-"&amp;TEXT(COUNTIF($B$5:B335,B335),"000"))</f>
        <v/>
      </c>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spans="1:31" ht="15" customHeight="1">
      <c r="A336" s="11" t="str">
        <f>IF(B336="","","W"&amp;B336&amp;"-"&amp;TEXT(COUNTIF($B$5:B336,B336),"000"))</f>
        <v/>
      </c>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spans="1:31" ht="15" customHeight="1">
      <c r="A337" s="11" t="str">
        <f>IF(B337="","","W"&amp;B337&amp;"-"&amp;TEXT(COUNTIF($B$5:B337,B337),"000"))</f>
        <v/>
      </c>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spans="1:31" ht="15" customHeight="1">
      <c r="A338" s="11" t="str">
        <f>IF(B338="","","W"&amp;B338&amp;"-"&amp;TEXT(COUNTIF($B$5:B338,B338),"000"))</f>
        <v/>
      </c>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spans="1:31" ht="15" customHeight="1">
      <c r="A339" s="11" t="str">
        <f>IF(B339="","","W"&amp;B339&amp;"-"&amp;TEXT(COUNTIF($B$5:B339,B339),"000"))</f>
        <v/>
      </c>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spans="1:31" ht="15" customHeight="1">
      <c r="A340" s="11" t="str">
        <f>IF(B340="","","W"&amp;B340&amp;"-"&amp;TEXT(COUNTIF($B$5:B340,B340),"000"))</f>
        <v/>
      </c>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spans="1:31" ht="15" customHeight="1">
      <c r="A341" s="11" t="str">
        <f>IF(B341="","","W"&amp;B341&amp;"-"&amp;TEXT(COUNTIF($B$5:B341,B341),"000"))</f>
        <v/>
      </c>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spans="1:31" ht="15" customHeight="1">
      <c r="A342" s="11" t="str">
        <f>IF(B342="","","W"&amp;B342&amp;"-"&amp;TEXT(COUNTIF($B$5:B342,B342),"000"))</f>
        <v/>
      </c>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spans="1:31" ht="15" customHeight="1">
      <c r="A343" s="11" t="str">
        <f>IF(B343="","","W"&amp;B343&amp;"-"&amp;TEXT(COUNTIF($B$5:B343,B343),"000"))</f>
        <v/>
      </c>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spans="1:31" ht="15" customHeight="1">
      <c r="A344" s="11" t="str">
        <f>IF(B344="","","W"&amp;B344&amp;"-"&amp;TEXT(COUNTIF($B$5:B344,B344),"000"))</f>
        <v/>
      </c>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spans="1:31" ht="15" customHeight="1">
      <c r="A345" s="11" t="str">
        <f>IF(B345="","","W"&amp;B345&amp;"-"&amp;TEXT(COUNTIF($B$5:B345,B345),"000"))</f>
        <v/>
      </c>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spans="1:31" ht="15" customHeight="1">
      <c r="A346" s="11" t="str">
        <f>IF(B346="","","W"&amp;B346&amp;"-"&amp;TEXT(COUNTIF($B$5:B346,B346),"000"))</f>
        <v/>
      </c>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spans="1:31" ht="15" customHeight="1">
      <c r="A347" s="11" t="str">
        <f>IF(B347="","","W"&amp;B347&amp;"-"&amp;TEXT(COUNTIF($B$5:B347,B347),"000"))</f>
        <v/>
      </c>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spans="1:31" ht="15" customHeight="1">
      <c r="A348" s="11" t="str">
        <f>IF(B348="","","W"&amp;B348&amp;"-"&amp;TEXT(COUNTIF($B$5:B348,B348),"000"))</f>
        <v/>
      </c>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spans="1:31" ht="15" customHeight="1">
      <c r="A349" s="11" t="str">
        <f>IF(B349="","","W"&amp;B349&amp;"-"&amp;TEXT(COUNTIF($B$5:B349,B349),"000"))</f>
        <v/>
      </c>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spans="1:31" ht="15" customHeight="1">
      <c r="A350" s="11" t="str">
        <f>IF(B350="","","W"&amp;B350&amp;"-"&amp;TEXT(COUNTIF($B$5:B350,B350),"000"))</f>
        <v/>
      </c>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spans="1:31" ht="15" customHeight="1">
      <c r="A351" s="11" t="str">
        <f>IF(B351="","","W"&amp;B351&amp;"-"&amp;TEXT(COUNTIF($B$5:B351,B351),"000"))</f>
        <v/>
      </c>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spans="1:31" ht="15" customHeight="1">
      <c r="A352" s="11" t="str">
        <f>IF(B352="","","W"&amp;B352&amp;"-"&amp;TEXT(COUNTIF($B$5:B352,B352),"000"))</f>
        <v/>
      </c>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spans="1:31" ht="15" customHeight="1">
      <c r="A353" s="11" t="str">
        <f>IF(B353="","","W"&amp;B353&amp;"-"&amp;TEXT(COUNTIF($B$5:B353,B353),"000"))</f>
        <v/>
      </c>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spans="1:31" ht="15" customHeight="1">
      <c r="A354" s="11" t="str">
        <f>IF(B354="","","W"&amp;B354&amp;"-"&amp;TEXT(COUNTIF($B$5:B354,B354),"000"))</f>
        <v/>
      </c>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spans="1:31" ht="15" customHeight="1">
      <c r="A355" s="11" t="str">
        <f>IF(B355="","","W"&amp;B355&amp;"-"&amp;TEXT(COUNTIF($B$5:B355,B355),"000"))</f>
        <v/>
      </c>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spans="1:31" ht="15" customHeight="1">
      <c r="A356" s="11" t="str">
        <f>IF(B356="","","W"&amp;B356&amp;"-"&amp;TEXT(COUNTIF($B$5:B356,B356),"000"))</f>
        <v/>
      </c>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spans="1:31" ht="15" customHeight="1">
      <c r="A357" s="11" t="str">
        <f>IF(B357="","","W"&amp;B357&amp;"-"&amp;TEXT(COUNTIF($B$5:B357,B357),"000"))</f>
        <v/>
      </c>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spans="1:31" ht="15" customHeight="1">
      <c r="A358" s="11" t="str">
        <f>IF(B358="","","W"&amp;B358&amp;"-"&amp;TEXT(COUNTIF($B$5:B358,B358),"000"))</f>
        <v/>
      </c>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spans="1:31" ht="15" customHeight="1">
      <c r="A359" s="11" t="str">
        <f>IF(B359="","","W"&amp;B359&amp;"-"&amp;TEXT(COUNTIF($B$5:B359,B359),"000"))</f>
        <v/>
      </c>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spans="1:31" ht="15" customHeight="1">
      <c r="A360" s="11" t="str">
        <f>IF(B360="","","W"&amp;B360&amp;"-"&amp;TEXT(COUNTIF($B$5:B360,B360),"000"))</f>
        <v/>
      </c>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spans="1:31" ht="15" customHeight="1">
      <c r="A361" s="11" t="str">
        <f>IF(B361="","","W"&amp;B361&amp;"-"&amp;TEXT(COUNTIF($B$5:B361,B361),"000"))</f>
        <v/>
      </c>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spans="1:31" ht="15" customHeight="1">
      <c r="A362" s="11" t="str">
        <f>IF(B362="","","W"&amp;B362&amp;"-"&amp;TEXT(COUNTIF($B$5:B362,B362),"000"))</f>
        <v/>
      </c>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spans="1:31" ht="15" customHeight="1">
      <c r="A363" s="11" t="str">
        <f>IF(B363="","","W"&amp;B363&amp;"-"&amp;TEXT(COUNTIF($B$5:B363,B363),"000"))</f>
        <v/>
      </c>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spans="1:31" ht="15" customHeight="1">
      <c r="A364" s="11" t="str">
        <f>IF(B364="","","W"&amp;B364&amp;"-"&amp;TEXT(COUNTIF($B$5:B364,B364),"000"))</f>
        <v/>
      </c>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spans="1:31" ht="15" customHeight="1">
      <c r="A365" s="11" t="str">
        <f>IF(B365="","","W"&amp;B365&amp;"-"&amp;TEXT(COUNTIF($B$5:B365,B365),"000"))</f>
        <v/>
      </c>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spans="1:31" ht="15" customHeight="1">
      <c r="A366" s="11" t="str">
        <f>IF(B366="","","W"&amp;B366&amp;"-"&amp;TEXT(COUNTIF($B$5:B366,B366),"000"))</f>
        <v/>
      </c>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spans="1:31" ht="15" customHeight="1">
      <c r="A367" s="11" t="str">
        <f>IF(B367="","","W"&amp;B367&amp;"-"&amp;TEXT(COUNTIF($B$5:B367,B367),"000"))</f>
        <v/>
      </c>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spans="1:31" ht="15" customHeight="1">
      <c r="A368" s="11" t="str">
        <f>IF(B368="","","W"&amp;B368&amp;"-"&amp;TEXT(COUNTIF($B$5:B368,B368),"000"))</f>
        <v/>
      </c>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spans="1:31" ht="15" customHeight="1">
      <c r="A369" s="11" t="str">
        <f>IF(B369="","","W"&amp;B369&amp;"-"&amp;TEXT(COUNTIF($B$5:B369,B369),"000"))</f>
        <v/>
      </c>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spans="1:31" ht="15" customHeight="1">
      <c r="A370" s="11" t="str">
        <f>IF(B370="","","W"&amp;B370&amp;"-"&amp;TEXT(COUNTIF($B$5:B370,B370),"000"))</f>
        <v/>
      </c>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spans="1:31" ht="15" customHeight="1">
      <c r="A371" s="11" t="str">
        <f>IF(B371="","","W"&amp;B371&amp;"-"&amp;TEXT(COUNTIF($B$5:B371,B371),"000"))</f>
        <v/>
      </c>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spans="1:31" ht="15" customHeight="1">
      <c r="A372" s="11" t="str">
        <f>IF(B372="","","W"&amp;B372&amp;"-"&amp;TEXT(COUNTIF($B$5:B372,B372),"000"))</f>
        <v/>
      </c>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spans="1:31" ht="15" customHeight="1">
      <c r="A373" s="11" t="str">
        <f>IF(B373="","","W"&amp;B373&amp;"-"&amp;TEXT(COUNTIF($B$5:B373,B373),"000"))</f>
        <v/>
      </c>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spans="1:31" ht="15" customHeight="1">
      <c r="A374" s="11" t="str">
        <f>IF(B374="","","W"&amp;B374&amp;"-"&amp;TEXT(COUNTIF($B$5:B374,B374),"000"))</f>
        <v/>
      </c>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spans="1:31" ht="15" customHeight="1">
      <c r="A375" s="11" t="str">
        <f>IF(B375="","","W"&amp;B375&amp;"-"&amp;TEXT(COUNTIF($B$5:B375,B375),"000"))</f>
        <v/>
      </c>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spans="1:31" ht="15" customHeight="1">
      <c r="A376" s="11" t="str">
        <f>IF(B376="","","W"&amp;B376&amp;"-"&amp;TEXT(COUNTIF($B$5:B376,B376),"000"))</f>
        <v/>
      </c>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spans="1:31" ht="15" customHeight="1">
      <c r="A377" s="11" t="str">
        <f>IF(B377="","","W"&amp;B377&amp;"-"&amp;TEXT(COUNTIF($B$5:B377,B377),"000"))</f>
        <v/>
      </c>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spans="1:31" ht="15" customHeight="1">
      <c r="A378" s="11" t="str">
        <f>IF(B378="","","W"&amp;B378&amp;"-"&amp;TEXT(COUNTIF($B$5:B378,B378),"000"))</f>
        <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spans="1:31" ht="15" customHeight="1">
      <c r="A379" s="11" t="str">
        <f>IF(B379="","","W"&amp;B379&amp;"-"&amp;TEXT(COUNTIF($B$5:B379,B379),"000"))</f>
        <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spans="1:31" ht="15" customHeight="1">
      <c r="A380" s="11" t="str">
        <f>IF(B380="","","W"&amp;B380&amp;"-"&amp;TEXT(COUNTIF($B$5:B380,B380),"000"))</f>
        <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spans="1:31" ht="15" customHeight="1">
      <c r="A381" s="11" t="str">
        <f>IF(B381="","","W"&amp;B381&amp;"-"&amp;TEXT(COUNTIF($B$5:B381,B381),"000"))</f>
        <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spans="1:31" ht="15" customHeight="1">
      <c r="A382" s="11" t="str">
        <f>IF(B382="","","W"&amp;B382&amp;"-"&amp;TEXT(COUNTIF($B$5:B382,B382),"000"))</f>
        <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spans="1:31" ht="15" customHeight="1">
      <c r="A383" s="11" t="str">
        <f>IF(B383="","","W"&amp;B383&amp;"-"&amp;TEXT(COUNTIF($B$5:B383,B383),"000"))</f>
        <v/>
      </c>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spans="1:31" ht="15" customHeight="1">
      <c r="A384" s="11" t="str">
        <f>IF(B384="","","W"&amp;B384&amp;"-"&amp;TEXT(COUNTIF($B$5:B384,B384),"000"))</f>
        <v/>
      </c>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spans="1:31" ht="15" customHeight="1">
      <c r="A385" s="11" t="str">
        <f>IF(B385="","","W"&amp;B385&amp;"-"&amp;TEXT(COUNTIF($B$5:B385,B385),"000"))</f>
        <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spans="1:31" ht="15" customHeight="1">
      <c r="A386" s="11" t="str">
        <f>IF(B386="","","W"&amp;B386&amp;"-"&amp;TEXT(COUNTIF($B$5:B386,B386),"000"))</f>
        <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spans="1:31" ht="15" customHeight="1">
      <c r="A387" s="11" t="str">
        <f>IF(B387="","","W"&amp;B387&amp;"-"&amp;TEXT(COUNTIF($B$5:B387,B387),"000"))</f>
        <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spans="1:31" ht="15" customHeight="1">
      <c r="A388" s="11" t="str">
        <f>IF(B388="","","W"&amp;B388&amp;"-"&amp;TEXT(COUNTIF($B$5:B388,B388),"000"))</f>
        <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spans="1:31" ht="15" customHeight="1">
      <c r="A389" s="11" t="str">
        <f>IF(B389="","","W"&amp;B389&amp;"-"&amp;TEXT(COUNTIF($B$5:B389,B389),"000"))</f>
        <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spans="1:31" ht="15" customHeight="1">
      <c r="A390" s="11" t="str">
        <f>IF(B390="","","W"&amp;B390&amp;"-"&amp;TEXT(COUNTIF($B$5:B390,B390),"000"))</f>
        <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spans="1:31" ht="15" customHeight="1">
      <c r="A391" s="11" t="str">
        <f>IF(B391="","","W"&amp;B391&amp;"-"&amp;TEXT(COUNTIF($B$5:B391,B391),"000"))</f>
        <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spans="1:31" ht="15" customHeight="1">
      <c r="A392" s="11" t="str">
        <f>IF(B392="","","W"&amp;B392&amp;"-"&amp;TEXT(COUNTIF($B$5:B392,B392),"000"))</f>
        <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spans="1:31" ht="15" customHeight="1">
      <c r="A393" s="11" t="str">
        <f>IF(B393="","","W"&amp;B393&amp;"-"&amp;TEXT(COUNTIF($B$5:B393,B393),"000"))</f>
        <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spans="1:31" ht="15" customHeight="1">
      <c r="A394" s="11" t="str">
        <f>IF(B394="","","W"&amp;B394&amp;"-"&amp;TEXT(COUNTIF($B$5:B394,B394),"000"))</f>
        <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spans="1:31" ht="15" customHeight="1">
      <c r="A395" s="11" t="str">
        <f>IF(B395="","","W"&amp;B395&amp;"-"&amp;TEXT(COUNTIF($B$5:B395,B395),"000"))</f>
        <v/>
      </c>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spans="1:31" ht="15" customHeight="1">
      <c r="A396" s="11" t="str">
        <f>IF(B396="","","W"&amp;B396&amp;"-"&amp;TEXT(COUNTIF($B$5:B396,B396),"000"))</f>
        <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spans="1:31" ht="15" customHeight="1">
      <c r="A397" s="11" t="str">
        <f>IF(B397="","","W"&amp;B397&amp;"-"&amp;TEXT(COUNTIF($B$5:B397,B397),"000"))</f>
        <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spans="1:31" ht="15" customHeight="1">
      <c r="A398" s="11" t="str">
        <f>IF(B398="","","W"&amp;B398&amp;"-"&amp;TEXT(COUNTIF($B$5:B398,B398),"000"))</f>
        <v/>
      </c>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spans="1:31" ht="15" customHeight="1">
      <c r="A399" s="11" t="str">
        <f>IF(B399="","","W"&amp;B399&amp;"-"&amp;TEXT(COUNTIF($B$5:B399,B399),"000"))</f>
        <v/>
      </c>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spans="1:31" ht="15" customHeight="1">
      <c r="A400" s="11" t="str">
        <f>IF(B400="","","W"&amp;B400&amp;"-"&amp;TEXT(COUNTIF($B$5:B400,B400),"000"))</f>
        <v/>
      </c>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spans="1:31" ht="15" customHeight="1">
      <c r="A401" s="11" t="str">
        <f>IF(B401="","","W"&amp;B401&amp;"-"&amp;TEXT(COUNTIF($B$5:B401,B401),"000"))</f>
        <v/>
      </c>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spans="1:31" ht="15" customHeight="1">
      <c r="A402" s="11" t="str">
        <f>IF(B402="","","W"&amp;B402&amp;"-"&amp;TEXT(COUNTIF($B$5:B402,B402),"000"))</f>
        <v/>
      </c>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spans="1:31" ht="15" customHeight="1">
      <c r="A403" s="11" t="str">
        <f>IF(B403="","","W"&amp;B403&amp;"-"&amp;TEXT(COUNTIF($B$5:B403,B403),"000"))</f>
        <v/>
      </c>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spans="1:31" ht="15" customHeight="1">
      <c r="A404" s="11" t="str">
        <f>IF(B404="","","W"&amp;B404&amp;"-"&amp;TEXT(COUNTIF($B$5:B404,B404),"000"))</f>
        <v/>
      </c>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spans="1:31" ht="15" customHeight="1">
      <c r="A405" s="11" t="str">
        <f>IF(B405="","","W"&amp;B405&amp;"-"&amp;TEXT(COUNTIF($B$5:B405,B405),"000"))</f>
        <v/>
      </c>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spans="1:31" ht="15" customHeight="1">
      <c r="A406" s="11" t="str">
        <f>IF(B406="","","W"&amp;B406&amp;"-"&amp;TEXT(COUNTIF($B$5:B406,B406),"000"))</f>
        <v/>
      </c>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spans="1:31" ht="15" customHeight="1">
      <c r="A407" s="11" t="str">
        <f>IF(B407="","","W"&amp;B407&amp;"-"&amp;TEXT(COUNTIF($B$5:B407,B407),"000"))</f>
        <v/>
      </c>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spans="1:31" ht="15" customHeight="1">
      <c r="A408" s="11" t="str">
        <f>IF(B408="","","W"&amp;B408&amp;"-"&amp;TEXT(COUNTIF($B$5:B408,B408),"000"))</f>
        <v/>
      </c>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spans="1:31" ht="15" customHeight="1">
      <c r="A409" s="11" t="str">
        <f>IF(B409="","","W"&amp;B409&amp;"-"&amp;TEXT(COUNTIF($B$5:B409,B409),"000"))</f>
        <v/>
      </c>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spans="1:31" ht="15" customHeight="1">
      <c r="A410" s="11" t="str">
        <f>IF(B410="","","W"&amp;B410&amp;"-"&amp;TEXT(COUNTIF($B$5:B410,B410),"000"))</f>
        <v/>
      </c>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spans="1:31" ht="15" customHeight="1">
      <c r="A411" s="11" t="str">
        <f>IF(B411="","","W"&amp;B411&amp;"-"&amp;TEXT(COUNTIF($B$5:B411,B411),"000"))</f>
        <v/>
      </c>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spans="1:31" ht="15" customHeight="1">
      <c r="A412" s="11" t="str">
        <f>IF(B412="","","W"&amp;B412&amp;"-"&amp;TEXT(COUNTIF($B$5:B412,B412),"000"))</f>
        <v/>
      </c>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spans="1:31" ht="15" customHeight="1">
      <c r="A413" s="11" t="str">
        <f>IF(B413="","","W"&amp;B413&amp;"-"&amp;TEXT(COUNTIF($B$5:B413,B413),"000"))</f>
        <v/>
      </c>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spans="1:31" ht="15" customHeight="1">
      <c r="A414" s="11" t="str">
        <f>IF(B414="","","W"&amp;B414&amp;"-"&amp;TEXT(COUNTIF($B$5:B414,B414),"000"))</f>
        <v/>
      </c>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spans="1:31" ht="15" customHeight="1">
      <c r="A415" s="11" t="str">
        <f>IF(B415="","","W"&amp;B415&amp;"-"&amp;TEXT(COUNTIF($B$5:B415,B415),"000"))</f>
        <v/>
      </c>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spans="1:31" ht="15" customHeight="1">
      <c r="A416" s="11" t="str">
        <f>IF(B416="","","W"&amp;B416&amp;"-"&amp;TEXT(COUNTIF($B$5:B416,B416),"000"))</f>
        <v/>
      </c>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spans="1:31" ht="15" customHeight="1">
      <c r="A417" s="11" t="str">
        <f>IF(B417="","","W"&amp;B417&amp;"-"&amp;TEXT(COUNTIF($B$5:B417,B417),"000"))</f>
        <v/>
      </c>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spans="1:31" ht="15" customHeight="1">
      <c r="A418" s="11" t="str">
        <f>IF(B418="","","W"&amp;B418&amp;"-"&amp;TEXT(COUNTIF($B$5:B418,B418),"000"))</f>
        <v/>
      </c>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spans="1:31" ht="15" customHeight="1">
      <c r="A419" s="11" t="str">
        <f>IF(B419="","","W"&amp;B419&amp;"-"&amp;TEXT(COUNTIF($B$5:B419,B419),"000"))</f>
        <v/>
      </c>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spans="1:31" ht="15" customHeight="1">
      <c r="A420" s="11" t="str">
        <f>IF(B420="","","W"&amp;B420&amp;"-"&amp;TEXT(COUNTIF($B$5:B420,B420),"000"))</f>
        <v/>
      </c>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spans="1:31" ht="15" customHeight="1">
      <c r="A421" s="11" t="str">
        <f>IF(B421="","","W"&amp;B421&amp;"-"&amp;TEXT(COUNTIF($B$5:B421,B421),"000"))</f>
        <v/>
      </c>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spans="1:31" ht="15" customHeight="1">
      <c r="A422" s="11" t="str">
        <f>IF(B422="","","W"&amp;B422&amp;"-"&amp;TEXT(COUNTIF($B$5:B422,B422),"000"))</f>
        <v/>
      </c>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spans="1:31" ht="15" customHeight="1">
      <c r="A423" s="11" t="str">
        <f>IF(B423="","","W"&amp;B423&amp;"-"&amp;TEXT(COUNTIF($B$5:B423,B423),"000"))</f>
        <v/>
      </c>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spans="1:31" ht="15" customHeight="1">
      <c r="A424" s="11" t="str">
        <f>IF(B424="","","W"&amp;B424&amp;"-"&amp;TEXT(COUNTIF($B$5:B424,B424),"000"))</f>
        <v/>
      </c>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spans="1:31" ht="15" customHeight="1">
      <c r="A425" s="11" t="str">
        <f>IF(B425="","","W"&amp;B425&amp;"-"&amp;TEXT(COUNTIF($B$5:B425,B425),"000"))</f>
        <v/>
      </c>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spans="1:31" ht="15" customHeight="1">
      <c r="A426" s="11" t="str">
        <f>IF(B426="","","W"&amp;B426&amp;"-"&amp;TEXT(COUNTIF($B$5:B426,B426),"000"))</f>
        <v/>
      </c>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spans="1:31" ht="15" customHeight="1">
      <c r="A427" s="11" t="str">
        <f>IF(B427="","","W"&amp;B427&amp;"-"&amp;TEXT(COUNTIF($B$5:B427,B427),"000"))</f>
        <v/>
      </c>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spans="1:31" ht="15" customHeight="1">
      <c r="A428" s="11" t="str">
        <f>IF(B428="","","W"&amp;B428&amp;"-"&amp;TEXT(COUNTIF($B$5:B428,B428),"000"))</f>
        <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spans="1:31" ht="15" customHeight="1">
      <c r="A429" s="11" t="str">
        <f>IF(B429="","","W"&amp;B429&amp;"-"&amp;TEXT(COUNTIF($B$5:B429,B429),"000"))</f>
        <v/>
      </c>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spans="1:31" ht="15" customHeight="1">
      <c r="A430" s="11" t="str">
        <f>IF(B430="","","W"&amp;B430&amp;"-"&amp;TEXT(COUNTIF($B$5:B430,B430),"000"))</f>
        <v/>
      </c>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spans="1:31" ht="15" customHeight="1">
      <c r="A431" s="11" t="str">
        <f>IF(B431="","","W"&amp;B431&amp;"-"&amp;TEXT(COUNTIF($B$5:B431,B431),"000"))</f>
        <v/>
      </c>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spans="1:31" ht="15" customHeight="1">
      <c r="A432" s="11" t="str">
        <f>IF(B432="","","W"&amp;B432&amp;"-"&amp;TEXT(COUNTIF($B$5:B432,B432),"000"))</f>
        <v/>
      </c>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spans="1:31" ht="15" customHeight="1">
      <c r="A433" s="11" t="str">
        <f>IF(B433="","","W"&amp;B433&amp;"-"&amp;TEXT(COUNTIF($B$5:B433,B433),"000"))</f>
        <v/>
      </c>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spans="1:31" ht="15" customHeight="1">
      <c r="A434" s="11" t="str">
        <f>IF(B434="","","W"&amp;B434&amp;"-"&amp;TEXT(COUNTIF($B$5:B434,B434),"000"))</f>
        <v/>
      </c>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spans="1:31" ht="15" customHeight="1">
      <c r="A435" s="11" t="str">
        <f>IF(B435="","","W"&amp;B435&amp;"-"&amp;TEXT(COUNTIF($B$5:B435,B435),"000"))</f>
        <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spans="1:31" ht="15" customHeight="1">
      <c r="A436" s="11" t="str">
        <f>IF(B436="","","W"&amp;B436&amp;"-"&amp;TEXT(COUNTIF($B$5:B436,B436),"000"))</f>
        <v/>
      </c>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spans="1:31" ht="15" customHeight="1">
      <c r="A437" s="11" t="str">
        <f>IF(B437="","","W"&amp;B437&amp;"-"&amp;TEXT(COUNTIF($B$5:B437,B437),"000"))</f>
        <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spans="1:31" ht="15" customHeight="1">
      <c r="A438" s="11" t="str">
        <f>IF(B438="","","W"&amp;B438&amp;"-"&amp;TEXT(COUNTIF($B$5:B438,B438),"000"))</f>
        <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spans="1:31" ht="15" customHeight="1">
      <c r="A439" s="11" t="str">
        <f>IF(B439="","","W"&amp;B439&amp;"-"&amp;TEXT(COUNTIF($B$5:B439,B439),"000"))</f>
        <v/>
      </c>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spans="1:31" ht="15" customHeight="1">
      <c r="A440" s="11" t="str">
        <f>IF(B440="","","W"&amp;B440&amp;"-"&amp;TEXT(COUNTIF($B$5:B440,B440),"000"))</f>
        <v/>
      </c>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spans="1:31" ht="15" customHeight="1">
      <c r="A441" s="11" t="str">
        <f>IF(B441="","","W"&amp;B441&amp;"-"&amp;TEXT(COUNTIF($B$5:B441,B441),"000"))</f>
        <v/>
      </c>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spans="1:31" ht="15" customHeight="1">
      <c r="A442" s="11" t="str">
        <f>IF(B442="","","W"&amp;B442&amp;"-"&amp;TEXT(COUNTIF($B$5:B442,B442),"000"))</f>
        <v/>
      </c>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spans="1:31" ht="15" customHeight="1">
      <c r="A443" s="11" t="str">
        <f>IF(B443="","","W"&amp;B443&amp;"-"&amp;TEXT(COUNTIF($B$5:B443,B443),"000"))</f>
        <v/>
      </c>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spans="1:31" ht="15" customHeight="1">
      <c r="A444" s="11" t="str">
        <f>IF(B444="","","W"&amp;B444&amp;"-"&amp;TEXT(COUNTIF($B$5:B444,B444),"000"))</f>
        <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spans="1:31" ht="15" customHeight="1">
      <c r="A445" s="11" t="str">
        <f>IF(B445="","","W"&amp;B445&amp;"-"&amp;TEXT(COUNTIF($B$5:B445,B445),"000"))</f>
        <v/>
      </c>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spans="1:31" ht="15" customHeight="1">
      <c r="A446" s="11" t="str">
        <f>IF(B446="","","W"&amp;B446&amp;"-"&amp;TEXT(COUNTIF($B$5:B446,B446),"000"))</f>
        <v/>
      </c>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spans="1:31" ht="15" customHeight="1">
      <c r="A447" s="11" t="str">
        <f>IF(B447="","","W"&amp;B447&amp;"-"&amp;TEXT(COUNTIF($B$5:B447,B447),"000"))</f>
        <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spans="1:31" ht="15" customHeight="1">
      <c r="A448" s="11" t="str">
        <f>IF(B448="","","W"&amp;B448&amp;"-"&amp;TEXT(COUNTIF($B$5:B448,B448),"000"))</f>
        <v/>
      </c>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spans="1:31" ht="15" customHeight="1">
      <c r="A449" s="11" t="str">
        <f>IF(B449="","","W"&amp;B449&amp;"-"&amp;TEXT(COUNTIF($B$5:B449,B449),"000"))</f>
        <v/>
      </c>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spans="1:31" ht="15" customHeight="1">
      <c r="A450" s="11" t="str">
        <f>IF(B450="","","W"&amp;B450&amp;"-"&amp;TEXT(COUNTIF($B$5:B450,B450),"000"))</f>
        <v/>
      </c>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spans="1:31" ht="15" customHeight="1">
      <c r="A451" s="11" t="str">
        <f>IF(B451="","","W"&amp;B451&amp;"-"&amp;TEXT(COUNTIF($B$5:B451,B451),"000"))</f>
        <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spans="1:31" ht="15" customHeight="1">
      <c r="A452" s="11" t="str">
        <f>IF(B452="","","W"&amp;B452&amp;"-"&amp;TEXT(COUNTIF($B$5:B452,B452),"000"))</f>
        <v/>
      </c>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spans="1:31" ht="15" customHeight="1">
      <c r="A453" s="11" t="str">
        <f>IF(B453="","","W"&amp;B453&amp;"-"&amp;TEXT(COUNTIF($B$5:B453,B453),"000"))</f>
        <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spans="1:31" ht="15" customHeight="1">
      <c r="A454" s="11" t="str">
        <f>IF(B454="","","W"&amp;B454&amp;"-"&amp;TEXT(COUNTIF($B$5:B454,B454),"000"))</f>
        <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spans="1:31" ht="15" customHeight="1">
      <c r="A455" s="11" t="str">
        <f>IF(B455="","","W"&amp;B455&amp;"-"&amp;TEXT(COUNTIF($B$5:B455,B455),"000"))</f>
        <v/>
      </c>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spans="1:31" ht="15" customHeight="1">
      <c r="A456" s="11" t="str">
        <f>IF(B456="","","W"&amp;B456&amp;"-"&amp;TEXT(COUNTIF($B$5:B456,B456),"000"))</f>
        <v/>
      </c>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spans="1:31" ht="15" customHeight="1">
      <c r="A457" s="11" t="str">
        <f>IF(B457="","","W"&amp;B457&amp;"-"&amp;TEXT(COUNTIF($B$5:B457,B457),"000"))</f>
        <v/>
      </c>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spans="1:31" ht="15" customHeight="1">
      <c r="A458" s="11" t="str">
        <f>IF(B458="","","W"&amp;B458&amp;"-"&amp;TEXT(COUNTIF($B$5:B458,B458),"000"))</f>
        <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spans="1:31" ht="15" customHeight="1">
      <c r="A459" s="11" t="str">
        <f>IF(B459="","","W"&amp;B459&amp;"-"&amp;TEXT(COUNTIF($B$5:B459,B459),"000"))</f>
        <v/>
      </c>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spans="1:31" ht="15" customHeight="1">
      <c r="A460" s="11" t="str">
        <f>IF(B460="","","W"&amp;B460&amp;"-"&amp;TEXT(COUNTIF($B$5:B460,B460),"000"))</f>
        <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spans="1:31" ht="15" customHeight="1">
      <c r="A461" s="11" t="str">
        <f>IF(B461="","","W"&amp;B461&amp;"-"&amp;TEXT(COUNTIF($B$5:B461,B461),"000"))</f>
        <v/>
      </c>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spans="1:31" ht="15" customHeight="1">
      <c r="A462" s="11" t="str">
        <f>IF(B462="","","W"&amp;B462&amp;"-"&amp;TEXT(COUNTIF($B$5:B462,B462),"000"))</f>
        <v/>
      </c>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spans="1:31" ht="15" customHeight="1">
      <c r="A463" s="11" t="str">
        <f>IF(B463="","","W"&amp;B463&amp;"-"&amp;TEXT(COUNTIF($B$5:B463,B463),"000"))</f>
        <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spans="1:31" ht="15" customHeight="1">
      <c r="A464" s="11" t="str">
        <f>IF(B464="","","W"&amp;B464&amp;"-"&amp;TEXT(COUNTIF($B$5:B464,B464),"000"))</f>
        <v/>
      </c>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spans="1:31" ht="15" customHeight="1">
      <c r="A465" s="11" t="str">
        <f>IF(B465="","","W"&amp;B465&amp;"-"&amp;TEXT(COUNTIF($B$5:B465,B465),"000"))</f>
        <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spans="1:31" ht="15" customHeight="1">
      <c r="A466" s="11" t="str">
        <f>IF(B466="","","W"&amp;B466&amp;"-"&amp;TEXT(COUNTIF($B$5:B466,B466),"000"))</f>
        <v/>
      </c>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spans="1:31" ht="15" customHeight="1">
      <c r="A467" s="11" t="str">
        <f>IF(B467="","","W"&amp;B467&amp;"-"&amp;TEXT(COUNTIF($B$5:B467,B467),"000"))</f>
        <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spans="1:31" ht="15" customHeight="1">
      <c r="A468" s="11" t="str">
        <f>IF(B468="","","W"&amp;B468&amp;"-"&amp;TEXT(COUNTIF($B$5:B468,B468),"000"))</f>
        <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spans="1:31" ht="15" customHeight="1">
      <c r="A469" s="11" t="str">
        <f>IF(B469="","","W"&amp;B469&amp;"-"&amp;TEXT(COUNTIF($B$5:B469,B469),"000"))</f>
        <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spans="1:31" ht="15" customHeight="1">
      <c r="A470" s="11" t="str">
        <f>IF(B470="","","W"&amp;B470&amp;"-"&amp;TEXT(COUNTIF($B$5:B470,B470),"000"))</f>
        <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spans="1:31" ht="15" customHeight="1">
      <c r="A471" s="11" t="str">
        <f>IF(B471="","","W"&amp;B471&amp;"-"&amp;TEXT(COUNTIF($B$5:B471,B471),"000"))</f>
        <v/>
      </c>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spans="1:31" ht="15" customHeight="1">
      <c r="A472" s="11" t="str">
        <f>IF(B472="","","W"&amp;B472&amp;"-"&amp;TEXT(COUNTIF($B$5:B472,B472),"000"))</f>
        <v/>
      </c>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spans="1:31" ht="15" customHeight="1">
      <c r="A473" s="11" t="str">
        <f>IF(B473="","","W"&amp;B473&amp;"-"&amp;TEXT(COUNTIF($B$5:B473,B473),"000"))</f>
        <v/>
      </c>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spans="1:31" ht="15" customHeight="1">
      <c r="A474" s="11" t="str">
        <f>IF(B474="","","W"&amp;B474&amp;"-"&amp;TEXT(COUNTIF($B$5:B474,B474),"000"))</f>
        <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spans="1:31" ht="15" customHeight="1">
      <c r="A475" s="11" t="str">
        <f>IF(B475="","","W"&amp;B475&amp;"-"&amp;TEXT(COUNTIF($B$5:B475,B475),"000"))</f>
        <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spans="1:31" ht="15" customHeight="1">
      <c r="A476" s="11" t="str">
        <f>IF(B476="","","W"&amp;B476&amp;"-"&amp;TEXT(COUNTIF($B$5:B476,B476),"000"))</f>
        <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spans="1:31" ht="15" customHeight="1">
      <c r="A477" s="11" t="str">
        <f>IF(B477="","","W"&amp;B477&amp;"-"&amp;TEXT(COUNTIF($B$5:B477,B477),"000"))</f>
        <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spans="1:31" ht="15" customHeight="1">
      <c r="A478" s="11" t="str">
        <f>IF(B478="","","W"&amp;B478&amp;"-"&amp;TEXT(COUNTIF($B$5:B478,B478),"000"))</f>
        <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spans="1:31" ht="15" customHeight="1">
      <c r="A479" s="11" t="str">
        <f>IF(B479="","","W"&amp;B479&amp;"-"&amp;TEXT(COUNTIF($B$5:B479,B479),"000"))</f>
        <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spans="1:31" ht="15" customHeight="1">
      <c r="A480" s="11" t="str">
        <f>IF(B480="","","W"&amp;B480&amp;"-"&amp;TEXT(COUNTIF($B$5:B480,B480),"000"))</f>
        <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spans="1:31" ht="15" customHeight="1">
      <c r="A481" s="11" t="str">
        <f>IF(B481="","","W"&amp;B481&amp;"-"&amp;TEXT(COUNTIF($B$5:B481,B481),"000"))</f>
        <v/>
      </c>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spans="1:31" ht="15" customHeight="1">
      <c r="A482" s="11" t="str">
        <f>IF(B482="","","W"&amp;B482&amp;"-"&amp;TEXT(COUNTIF($B$5:B482,B482),"000"))</f>
        <v/>
      </c>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spans="1:31" ht="15" customHeight="1">
      <c r="A483" s="11" t="str">
        <f>IF(B483="","","W"&amp;B483&amp;"-"&amp;TEXT(COUNTIF($B$5:B483,B483),"000"))</f>
        <v/>
      </c>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spans="1:31" ht="15" customHeight="1">
      <c r="A484" s="11" t="str">
        <f>IF(B484="","","W"&amp;B484&amp;"-"&amp;TEXT(COUNTIF($B$5:B484,B484),"000"))</f>
        <v/>
      </c>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spans="1:31" ht="15" customHeight="1">
      <c r="A485" s="11" t="str">
        <f>IF(B485="","","W"&amp;B485&amp;"-"&amp;TEXT(COUNTIF($B$5:B485,B485),"000"))</f>
        <v/>
      </c>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spans="1:31" ht="15" customHeight="1">
      <c r="A486" s="11" t="str">
        <f>IF(B486="","","W"&amp;B486&amp;"-"&amp;TEXT(COUNTIF($B$5:B486,B486),"000"))</f>
        <v/>
      </c>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spans="1:31" ht="15" customHeight="1">
      <c r="A487" s="11" t="str">
        <f>IF(B487="","","W"&amp;B487&amp;"-"&amp;TEXT(COUNTIF($B$5:B487,B487),"000"))</f>
        <v/>
      </c>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spans="1:31" ht="15" customHeight="1">
      <c r="A488" s="11" t="str">
        <f>IF(B488="","","W"&amp;B488&amp;"-"&amp;TEXT(COUNTIF($B$5:B488,B488),"000"))</f>
        <v/>
      </c>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spans="1:31" ht="15" customHeight="1">
      <c r="A489" s="11" t="str">
        <f>IF(B489="","","W"&amp;B489&amp;"-"&amp;TEXT(COUNTIF($B$5:B489,B489),"000"))</f>
        <v/>
      </c>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spans="1:31" ht="15" customHeight="1">
      <c r="A490" s="11" t="str">
        <f>IF(B490="","","W"&amp;B490&amp;"-"&amp;TEXT(COUNTIF($B$5:B490,B490),"000"))</f>
        <v/>
      </c>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spans="1:31" ht="15" customHeight="1">
      <c r="A491" s="11" t="str">
        <f>IF(B491="","","W"&amp;B491&amp;"-"&amp;TEXT(COUNTIF($B$5:B491,B491),"000"))</f>
        <v/>
      </c>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spans="1:31" ht="15" customHeight="1">
      <c r="A492" s="11" t="str">
        <f>IF(B492="","","W"&amp;B492&amp;"-"&amp;TEXT(COUNTIF($B$5:B492,B492),"000"))</f>
        <v/>
      </c>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spans="1:31" ht="15" customHeight="1">
      <c r="A493" s="11" t="str">
        <f>IF(B493="","","W"&amp;B493&amp;"-"&amp;TEXT(COUNTIF($B$5:B493,B493),"000"))</f>
        <v/>
      </c>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spans="1:31" ht="15" customHeight="1">
      <c r="A494" s="11" t="str">
        <f>IF(B494="","","W"&amp;B494&amp;"-"&amp;TEXT(COUNTIF($B$5:B494,B494),"000"))</f>
        <v/>
      </c>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spans="1:31" ht="15" customHeight="1">
      <c r="A495" s="11" t="str">
        <f>IF(B495="","","W"&amp;B495&amp;"-"&amp;TEXT(COUNTIF($B$5:B495,B495),"000"))</f>
        <v/>
      </c>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spans="1:31" ht="15" customHeight="1">
      <c r="A496" s="11" t="str">
        <f>IF(B496="","","W"&amp;B496&amp;"-"&amp;TEXT(COUNTIF($B$5:B496,B496),"000"))</f>
        <v/>
      </c>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spans="1:31" ht="15" customHeight="1">
      <c r="A497" s="11" t="str">
        <f>IF(B497="","","W"&amp;B497&amp;"-"&amp;TEXT(COUNTIF($B$5:B497,B497),"000"))</f>
        <v/>
      </c>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spans="1:31" ht="15" customHeight="1">
      <c r="A498" s="11" t="str">
        <f>IF(B498="","","W"&amp;B498&amp;"-"&amp;TEXT(COUNTIF($B$5:B498,B498),"000"))</f>
        <v/>
      </c>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spans="1:31" ht="15" customHeight="1">
      <c r="A499" s="11" t="str">
        <f>IF(B499="","","W"&amp;B499&amp;"-"&amp;TEXT(COUNTIF($B$5:B499,B499),"000"))</f>
        <v/>
      </c>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spans="1:31" ht="15" customHeight="1">
      <c r="A500" s="11" t="str">
        <f>IF(B500="","","W"&amp;B500&amp;"-"&amp;TEXT(COUNTIF($B$5:B500,B500),"000"))</f>
        <v/>
      </c>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spans="1:31" ht="15" customHeight="1">
      <c r="A501" s="11" t="str">
        <f>IF(B501="","","W"&amp;B501&amp;"-"&amp;TEXT(COUNTIF($B$5:B501,B501),"000"))</f>
        <v/>
      </c>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spans="1:31" ht="15" customHeight="1">
      <c r="A502" s="11" t="str">
        <f>IF(B502="","","W"&amp;B502&amp;"-"&amp;TEXT(COUNTIF($B$5:B502,B502),"000"))</f>
        <v/>
      </c>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spans="1:31" ht="15" customHeight="1">
      <c r="A503" s="11" t="str">
        <f>IF(B503="","","W"&amp;B503&amp;"-"&amp;TEXT(COUNTIF($B$5:B503,B503),"000"))</f>
        <v/>
      </c>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spans="1:31" ht="15" customHeight="1">
      <c r="A504" s="11" t="str">
        <f>IF(B504="","","W"&amp;B504&amp;"-"&amp;TEXT(COUNTIF($B$5:B504,B504),"000"))</f>
        <v/>
      </c>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spans="1:31" ht="15" customHeight="1">
      <c r="A505" s="11" t="str">
        <f>IF(B505="","","W"&amp;B505&amp;"-"&amp;TEXT(COUNTIF($B$5:B505,B505),"000"))</f>
        <v/>
      </c>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spans="1:31" ht="15" customHeight="1">
      <c r="A506" s="11" t="str">
        <f>IF(B506="","","W"&amp;B506&amp;"-"&amp;TEXT(COUNTIF($B$5:B506,B506),"000"))</f>
        <v/>
      </c>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spans="1:31" ht="15" customHeight="1">
      <c r="A507" s="11" t="str">
        <f>IF(B507="","","W"&amp;B507&amp;"-"&amp;TEXT(COUNTIF($B$5:B507,B507),"000"))</f>
        <v/>
      </c>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spans="1:31" ht="15" customHeight="1">
      <c r="A508" s="11" t="str">
        <f>IF(B508="","","W"&amp;B508&amp;"-"&amp;TEXT(COUNTIF($B$5:B508,B508),"000"))</f>
        <v/>
      </c>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spans="1:31" ht="15" customHeight="1">
      <c r="A509" s="11" t="str">
        <f>IF(B509="","","W"&amp;B509&amp;"-"&amp;TEXT(COUNTIF($B$5:B509,B509),"000"))</f>
        <v/>
      </c>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spans="1:31" ht="15" customHeight="1">
      <c r="A510" s="11" t="str">
        <f>IF(B510="","","W"&amp;B510&amp;"-"&amp;TEXT(COUNTIF($B$5:B510,B510),"000"))</f>
        <v/>
      </c>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spans="1:31" ht="15" customHeight="1">
      <c r="A511" s="11" t="str">
        <f>IF(B511="","","W"&amp;B511&amp;"-"&amp;TEXT(COUNTIF($B$5:B511,B511),"000"))</f>
        <v/>
      </c>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spans="1:31" ht="15" customHeight="1">
      <c r="A512" s="11" t="str">
        <f>IF(B512="","","W"&amp;B512&amp;"-"&amp;TEXT(COUNTIF($B$5:B512,B512),"000"))</f>
        <v/>
      </c>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spans="1:31" ht="15" customHeight="1">
      <c r="A513" s="11" t="str">
        <f>IF(B513="","","W"&amp;B513&amp;"-"&amp;TEXT(COUNTIF($B$5:B513,B513),"000"))</f>
        <v/>
      </c>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spans="1:31" ht="15" customHeight="1">
      <c r="A514" s="11" t="str">
        <f>IF(B514="","","W"&amp;B514&amp;"-"&amp;TEXT(COUNTIF($B$5:B514,B514),"000"))</f>
        <v/>
      </c>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spans="1:31" ht="15" customHeight="1">
      <c r="A515" s="11" t="str">
        <f>IF(B515="","","W"&amp;B515&amp;"-"&amp;TEXT(COUNTIF($B$5:B515,B515),"000"))</f>
        <v/>
      </c>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spans="1:31" ht="15" customHeight="1">
      <c r="A516" s="11" t="str">
        <f>IF(B516="","","W"&amp;B516&amp;"-"&amp;TEXT(COUNTIF($B$5:B516,B516),"000"))</f>
        <v/>
      </c>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spans="1:31" ht="15" customHeight="1">
      <c r="A517" s="11" t="str">
        <f>IF(B517="","","W"&amp;B517&amp;"-"&amp;TEXT(COUNTIF($B$5:B517,B517),"000"))</f>
        <v/>
      </c>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spans="1:31" ht="15" customHeight="1">
      <c r="A518" s="11" t="str">
        <f>IF(B518="","","W"&amp;B518&amp;"-"&amp;TEXT(COUNTIF($B$5:B518,B518),"000"))</f>
        <v/>
      </c>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spans="1:31" ht="15" customHeight="1">
      <c r="A519" s="11" t="str">
        <f>IF(B519="","","W"&amp;B519&amp;"-"&amp;TEXT(COUNTIF($B$5:B519,B519),"000"))</f>
        <v/>
      </c>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spans="1:31" ht="15" customHeight="1">
      <c r="A520" s="11" t="str">
        <f>IF(B520="","","W"&amp;B520&amp;"-"&amp;TEXT(COUNTIF($B$5:B520,B520),"000"))</f>
        <v/>
      </c>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spans="1:31" ht="15" customHeight="1">
      <c r="A521" s="11" t="str">
        <f>IF(B521="","","W"&amp;B521&amp;"-"&amp;TEXT(COUNTIF($B$5:B521,B521),"000"))</f>
        <v/>
      </c>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spans="1:31" ht="15" customHeight="1">
      <c r="A522" s="11" t="str">
        <f>IF(B522="","","W"&amp;B522&amp;"-"&amp;TEXT(COUNTIF($B$5:B522,B522),"000"))</f>
        <v/>
      </c>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spans="1:31" ht="15" customHeight="1">
      <c r="A523" s="11" t="str">
        <f>IF(B523="","","W"&amp;B523&amp;"-"&amp;TEXT(COUNTIF($B$5:B523,B523),"000"))</f>
        <v/>
      </c>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spans="1:31" ht="15" customHeight="1">
      <c r="A524" s="11" t="str">
        <f>IF(B524="","","W"&amp;B524&amp;"-"&amp;TEXT(COUNTIF($B$5:B524,B524),"000"))</f>
        <v/>
      </c>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spans="1:31" ht="15" customHeight="1">
      <c r="A525" s="11" t="str">
        <f>IF(B525="","","W"&amp;B525&amp;"-"&amp;TEXT(COUNTIF($B$5:B525,B525),"000"))</f>
        <v/>
      </c>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spans="1:31" ht="15" customHeight="1">
      <c r="A526" s="11" t="str">
        <f>IF(B526="","","W"&amp;B526&amp;"-"&amp;TEXT(COUNTIF($B$5:B526,B526),"000"))</f>
        <v/>
      </c>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spans="1:31" ht="15" customHeight="1">
      <c r="A527" s="11" t="str">
        <f>IF(B527="","","W"&amp;B527&amp;"-"&amp;TEXT(COUNTIF($B$5:B527,B527),"000"))</f>
        <v/>
      </c>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spans="1:31" ht="15" customHeight="1">
      <c r="A528" s="11" t="str">
        <f>IF(B528="","","W"&amp;B528&amp;"-"&amp;TEXT(COUNTIF($B$5:B528,B528),"000"))</f>
        <v/>
      </c>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spans="1:31" ht="15" customHeight="1">
      <c r="A529" s="11" t="str">
        <f>IF(B529="","","W"&amp;B529&amp;"-"&amp;TEXT(COUNTIF($B$5:B529,B529),"000"))</f>
        <v/>
      </c>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spans="1:31" ht="15" customHeight="1">
      <c r="A530" s="11" t="str">
        <f>IF(B530="","","W"&amp;B530&amp;"-"&amp;TEXT(COUNTIF($B$5:B530,B530),"000"))</f>
        <v/>
      </c>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spans="1:31" ht="15" customHeight="1">
      <c r="A531" s="11" t="str">
        <f>IF(B531="","","W"&amp;B531&amp;"-"&amp;TEXT(COUNTIF($B$5:B531,B531),"000"))</f>
        <v/>
      </c>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spans="1:31" ht="15" customHeight="1">
      <c r="A532" s="11" t="str">
        <f>IF(B532="","","W"&amp;B532&amp;"-"&amp;TEXT(COUNTIF($B$5:B532,B532),"000"))</f>
        <v/>
      </c>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spans="1:31" ht="15" customHeight="1">
      <c r="A533" s="11" t="str">
        <f>IF(B533="","","W"&amp;B533&amp;"-"&amp;TEXT(COUNTIF($B$5:B533,B533),"000"))</f>
        <v/>
      </c>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spans="1:31" ht="15" customHeight="1">
      <c r="A534" s="11" t="str">
        <f>IF(B534="","","W"&amp;B534&amp;"-"&amp;TEXT(COUNTIF($B$5:B534,B534),"000"))</f>
        <v/>
      </c>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spans="1:31" ht="15" customHeight="1">
      <c r="A535" s="11" t="str">
        <f>IF(B535="","","W"&amp;B535&amp;"-"&amp;TEXT(COUNTIF($B$5:B535,B535),"000"))</f>
        <v/>
      </c>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spans="1:31" ht="15" customHeight="1">
      <c r="A536" s="11" t="str">
        <f>IF(B536="","","W"&amp;B536&amp;"-"&amp;TEXT(COUNTIF($B$5:B536,B536),"000"))</f>
        <v/>
      </c>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spans="1:31" ht="15" customHeight="1">
      <c r="A537" s="11" t="str">
        <f>IF(B537="","","W"&amp;B537&amp;"-"&amp;TEXT(COUNTIF($B$5:B537,B537),"000"))</f>
        <v/>
      </c>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spans="1:31" ht="15" customHeight="1">
      <c r="A538" s="11" t="str">
        <f>IF(B538="","","W"&amp;B538&amp;"-"&amp;TEXT(COUNTIF($B$5:B538,B538),"000"))</f>
        <v/>
      </c>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spans="1:31" ht="15" customHeight="1">
      <c r="A539" s="11" t="str">
        <f>IF(B539="","","W"&amp;B539&amp;"-"&amp;TEXT(COUNTIF($B$5:B539,B539),"000"))</f>
        <v/>
      </c>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spans="1:31" ht="15" customHeight="1">
      <c r="A540" s="11" t="str">
        <f>IF(B540="","","W"&amp;B540&amp;"-"&amp;TEXT(COUNTIF($B$5:B540,B540),"000"))</f>
        <v/>
      </c>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spans="1:31" ht="15" customHeight="1">
      <c r="A541" s="11" t="str">
        <f>IF(B541="","","W"&amp;B541&amp;"-"&amp;TEXT(COUNTIF($B$5:B541,B541),"000"))</f>
        <v/>
      </c>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spans="1:31" ht="15" customHeight="1">
      <c r="A542" s="11" t="str">
        <f>IF(B542="","","W"&amp;B542&amp;"-"&amp;TEXT(COUNTIF($B$5:B542,B542),"000"))</f>
        <v/>
      </c>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spans="1:31" ht="15" customHeight="1">
      <c r="A543" s="11" t="str">
        <f>IF(B543="","","W"&amp;B543&amp;"-"&amp;TEXT(COUNTIF($B$5:B543,B543),"000"))</f>
        <v/>
      </c>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spans="1:31" ht="15" customHeight="1">
      <c r="A544" s="11" t="str">
        <f>IF(B544="","","W"&amp;B544&amp;"-"&amp;TEXT(COUNTIF($B$5:B544,B544),"000"))</f>
        <v/>
      </c>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spans="1:31" ht="15" customHeight="1">
      <c r="A545" s="11" t="str">
        <f>IF(B545="","","W"&amp;B545&amp;"-"&amp;TEXT(COUNTIF($B$5:B545,B545),"000"))</f>
        <v/>
      </c>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spans="1:31" ht="15" customHeight="1">
      <c r="A546" s="11" t="str">
        <f>IF(B546="","","W"&amp;B546&amp;"-"&amp;TEXT(COUNTIF($B$5:B546,B546),"000"))</f>
        <v/>
      </c>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spans="1:31" ht="15" customHeight="1">
      <c r="A547" s="11" t="str">
        <f>IF(B547="","","W"&amp;B547&amp;"-"&amp;TEXT(COUNTIF($B$5:B547,B547),"000"))</f>
        <v/>
      </c>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spans="1:31" ht="15" customHeight="1">
      <c r="A548" s="11" t="str">
        <f>IF(B548="","","W"&amp;B548&amp;"-"&amp;TEXT(COUNTIF($B$5:B548,B548),"000"))</f>
        <v/>
      </c>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spans="1:31" ht="15" customHeight="1">
      <c r="A549" s="11" t="str">
        <f>IF(B549="","","W"&amp;B549&amp;"-"&amp;TEXT(COUNTIF($B$5:B549,B549),"000"))</f>
        <v/>
      </c>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spans="1:31" ht="15" customHeight="1">
      <c r="A550" s="11" t="str">
        <f>IF(B550="","","W"&amp;B550&amp;"-"&amp;TEXT(COUNTIF($B$5:B550,B550),"000"))</f>
        <v/>
      </c>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spans="1:31" ht="15" customHeight="1">
      <c r="A551" s="11" t="str">
        <f>IF(B551="","","W"&amp;B551&amp;"-"&amp;TEXT(COUNTIF($B$5:B551,B551),"000"))</f>
        <v/>
      </c>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spans="1:31" ht="15" customHeight="1">
      <c r="A552" s="11" t="str">
        <f>IF(B552="","","W"&amp;B552&amp;"-"&amp;TEXT(COUNTIF($B$5:B552,B552),"000"))</f>
        <v/>
      </c>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spans="1:31" ht="15" customHeight="1">
      <c r="A553" s="11" t="str">
        <f>IF(B553="","","W"&amp;B553&amp;"-"&amp;TEXT(COUNTIF($B$5:B553,B553),"000"))</f>
        <v/>
      </c>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spans="1:31" ht="15" customHeight="1">
      <c r="A554" s="11" t="str">
        <f>IF(B554="","","W"&amp;B554&amp;"-"&amp;TEXT(COUNTIF($B$5:B554,B554),"000"))</f>
        <v/>
      </c>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spans="1:31" ht="15" customHeight="1">
      <c r="A555" s="11" t="str">
        <f>IF(B555="","","W"&amp;B555&amp;"-"&amp;TEXT(COUNTIF($B$5:B555,B555),"000"))</f>
        <v/>
      </c>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spans="1:31" ht="15" customHeight="1">
      <c r="A556" s="11" t="str">
        <f>IF(B556="","","W"&amp;B556&amp;"-"&amp;TEXT(COUNTIF($B$5:B556,B556),"000"))</f>
        <v/>
      </c>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spans="1:31" ht="15" customHeight="1">
      <c r="A557" s="11" t="str">
        <f>IF(B557="","","W"&amp;B557&amp;"-"&amp;TEXT(COUNTIF($B$5:B557,B557),"000"))</f>
        <v/>
      </c>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spans="1:31" ht="15" customHeight="1">
      <c r="A558" s="11" t="str">
        <f>IF(B558="","","W"&amp;B558&amp;"-"&amp;TEXT(COUNTIF($B$5:B558,B558),"000"))</f>
        <v/>
      </c>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spans="1:31" ht="15" customHeight="1">
      <c r="A559" s="11" t="str">
        <f>IF(B559="","","W"&amp;B559&amp;"-"&amp;TEXT(COUNTIF($B$5:B559,B559),"000"))</f>
        <v/>
      </c>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spans="1:31" ht="15" customHeight="1">
      <c r="A560" s="11" t="str">
        <f>IF(B560="","","W"&amp;B560&amp;"-"&amp;TEXT(COUNTIF($B$5:B560,B560),"000"))</f>
        <v/>
      </c>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spans="1:31" ht="15" customHeight="1">
      <c r="A561" s="11" t="str">
        <f>IF(B561="","","W"&amp;B561&amp;"-"&amp;TEXT(COUNTIF($B$5:B561,B561),"000"))</f>
        <v/>
      </c>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spans="1:31" ht="15" customHeight="1">
      <c r="A562" s="11" t="str">
        <f>IF(B562="","","W"&amp;B562&amp;"-"&amp;TEXT(COUNTIF($B$5:B562,B562),"000"))</f>
        <v/>
      </c>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spans="1:31" ht="15" customHeight="1">
      <c r="A563" s="11" t="str">
        <f>IF(B563="","","W"&amp;B563&amp;"-"&amp;TEXT(COUNTIF($B$5:B563,B563),"000"))</f>
        <v/>
      </c>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spans="1:31" ht="15" customHeight="1">
      <c r="A564" s="11" t="str">
        <f>IF(B564="","","W"&amp;B564&amp;"-"&amp;TEXT(COUNTIF($B$5:B564,B564),"000"))</f>
        <v/>
      </c>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spans="1:31" ht="15" customHeight="1">
      <c r="A565" s="11" t="str">
        <f>IF(B565="","","W"&amp;B565&amp;"-"&amp;TEXT(COUNTIF($B$5:B565,B565),"000"))</f>
        <v/>
      </c>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spans="1:31" ht="15" customHeight="1">
      <c r="A566" s="11" t="str">
        <f>IF(B566="","","W"&amp;B566&amp;"-"&amp;TEXT(COUNTIF($B$5:B566,B566),"000"))</f>
        <v/>
      </c>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spans="1:31" ht="15" customHeight="1">
      <c r="A567" s="11" t="str">
        <f>IF(B567="","","W"&amp;B567&amp;"-"&amp;TEXT(COUNTIF($B$5:B567,B567),"000"))</f>
        <v/>
      </c>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spans="1:31" ht="15" customHeight="1">
      <c r="A568" s="11" t="str">
        <f>IF(B568="","","W"&amp;B568&amp;"-"&amp;TEXT(COUNTIF($B$5:B568,B568),"000"))</f>
        <v/>
      </c>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spans="1:31" ht="15" customHeight="1">
      <c r="A569" s="11" t="str">
        <f>IF(B569="","","W"&amp;B569&amp;"-"&amp;TEXT(COUNTIF($B$5:B569,B569),"000"))</f>
        <v/>
      </c>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spans="1:31" ht="15" customHeight="1">
      <c r="A570" s="11" t="str">
        <f>IF(B570="","","W"&amp;B570&amp;"-"&amp;TEXT(COUNTIF($B$5:B570,B570),"000"))</f>
        <v/>
      </c>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spans="1:31" ht="15" customHeight="1">
      <c r="A571" s="11" t="str">
        <f>IF(B571="","","W"&amp;B571&amp;"-"&amp;TEXT(COUNTIF($B$5:B571,B571),"000"))</f>
        <v/>
      </c>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spans="1:31" ht="15" customHeight="1">
      <c r="A572" s="11" t="str">
        <f>IF(B572="","","W"&amp;B572&amp;"-"&amp;TEXT(COUNTIF($B$5:B572,B572),"000"))</f>
        <v/>
      </c>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spans="1:31" ht="15" customHeight="1">
      <c r="A573" s="11" t="str">
        <f>IF(B573="","","W"&amp;B573&amp;"-"&amp;TEXT(COUNTIF($B$5:B573,B573),"000"))</f>
        <v/>
      </c>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spans="1:31" ht="15" customHeight="1">
      <c r="A574" s="11" t="str">
        <f>IF(B574="","","W"&amp;B574&amp;"-"&amp;TEXT(COUNTIF($B$5:B574,B574),"000"))</f>
        <v/>
      </c>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spans="1:31" ht="15" customHeight="1">
      <c r="A575" s="11" t="str">
        <f>IF(B575="","","W"&amp;B575&amp;"-"&amp;TEXT(COUNTIF($B$5:B575,B575),"000"))</f>
        <v/>
      </c>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spans="1:31" ht="15" customHeight="1">
      <c r="A576" s="11" t="str">
        <f>IF(B576="","","W"&amp;B576&amp;"-"&amp;TEXT(COUNTIF($B$5:B576,B576),"000"))</f>
        <v/>
      </c>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spans="1:31" ht="15" customHeight="1">
      <c r="A577" s="11" t="str">
        <f>IF(B577="","","W"&amp;B577&amp;"-"&amp;TEXT(COUNTIF($B$5:B577,B577),"000"))</f>
        <v/>
      </c>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spans="1:31" ht="15" customHeight="1">
      <c r="A578" s="11" t="str">
        <f>IF(B578="","","W"&amp;B578&amp;"-"&amp;TEXT(COUNTIF($B$5:B578,B578),"000"))</f>
        <v/>
      </c>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spans="1:31" ht="15" customHeight="1">
      <c r="A579" s="11" t="str">
        <f>IF(B579="","","W"&amp;B579&amp;"-"&amp;TEXT(COUNTIF($B$5:B579,B579),"000"))</f>
        <v/>
      </c>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spans="1:31" ht="15" customHeight="1">
      <c r="A580" s="11" t="str">
        <f>IF(B580="","","W"&amp;B580&amp;"-"&amp;TEXT(COUNTIF($B$5:B580,B580),"000"))</f>
        <v/>
      </c>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spans="1:31" ht="15" customHeight="1">
      <c r="A581" s="11" t="str">
        <f>IF(B581="","","W"&amp;B581&amp;"-"&amp;TEXT(COUNTIF($B$5:B581,B581),"000"))</f>
        <v/>
      </c>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spans="1:31" ht="15" customHeight="1">
      <c r="A582" s="11" t="str">
        <f>IF(B582="","","W"&amp;B582&amp;"-"&amp;TEXT(COUNTIF($B$5:B582,B582),"000"))</f>
        <v/>
      </c>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spans="1:31" ht="15" customHeight="1">
      <c r="A583" s="11" t="str">
        <f>IF(B583="","","W"&amp;B583&amp;"-"&amp;TEXT(COUNTIF($B$5:B583,B583),"000"))</f>
        <v/>
      </c>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spans="1:31" ht="15" customHeight="1">
      <c r="A584" s="11" t="str">
        <f>IF(B584="","","W"&amp;B584&amp;"-"&amp;TEXT(COUNTIF($B$5:B584,B584),"000"))</f>
        <v/>
      </c>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spans="1:31" ht="15" customHeight="1">
      <c r="A585" s="11" t="str">
        <f>IF(B585="","","W"&amp;B585&amp;"-"&amp;TEXT(COUNTIF($B$5:B585,B585),"000"))</f>
        <v/>
      </c>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spans="1:31" ht="15" customHeight="1">
      <c r="A586" s="11" t="str">
        <f>IF(B586="","","W"&amp;B586&amp;"-"&amp;TEXT(COUNTIF($B$5:B586,B586),"000"))</f>
        <v/>
      </c>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spans="1:31" ht="15" customHeight="1">
      <c r="A587" s="11" t="str">
        <f>IF(B587="","","W"&amp;B587&amp;"-"&amp;TEXT(COUNTIF($B$5:B587,B587),"000"))</f>
        <v/>
      </c>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spans="1:31" ht="15" customHeight="1">
      <c r="A588" s="11" t="str">
        <f>IF(B588="","","W"&amp;B588&amp;"-"&amp;TEXT(COUNTIF($B$5:B588,B588),"000"))</f>
        <v/>
      </c>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spans="1:31" ht="15" customHeight="1">
      <c r="A589" s="11" t="str">
        <f>IF(B589="","","W"&amp;B589&amp;"-"&amp;TEXT(COUNTIF($B$5:B589,B589),"000"))</f>
        <v/>
      </c>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spans="1:31" ht="15" customHeight="1">
      <c r="A590" s="11" t="str">
        <f>IF(B590="","","W"&amp;B590&amp;"-"&amp;TEXT(COUNTIF($B$5:B590,B590),"000"))</f>
        <v/>
      </c>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spans="1:31" ht="15" customHeight="1">
      <c r="A591" s="11" t="str">
        <f>IF(B591="","","W"&amp;B591&amp;"-"&amp;TEXT(COUNTIF($B$5:B591,B591),"000"))</f>
        <v/>
      </c>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spans="1:31" ht="15" customHeight="1">
      <c r="A592" s="11" t="str">
        <f>IF(B592="","","W"&amp;B592&amp;"-"&amp;TEXT(COUNTIF($B$5:B592,B592),"000"))</f>
        <v/>
      </c>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spans="1:31" ht="15" customHeight="1">
      <c r="A593" s="11" t="str">
        <f>IF(B593="","","W"&amp;B593&amp;"-"&amp;TEXT(COUNTIF($B$5:B593,B593),"000"))</f>
        <v/>
      </c>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spans="1:31" ht="15" customHeight="1">
      <c r="A594" s="11" t="str">
        <f>IF(B594="","","W"&amp;B594&amp;"-"&amp;TEXT(COUNTIF($B$5:B594,B594),"000"))</f>
        <v/>
      </c>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spans="1:31" ht="15" customHeight="1">
      <c r="A595" s="11" t="str">
        <f>IF(B595="","","W"&amp;B595&amp;"-"&amp;TEXT(COUNTIF($B$5:B595,B595),"000"))</f>
        <v/>
      </c>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spans="1:31" ht="15" customHeight="1">
      <c r="A596" s="11" t="str">
        <f>IF(B596="","","W"&amp;B596&amp;"-"&amp;TEXT(COUNTIF($B$5:B596,B596),"000"))</f>
        <v/>
      </c>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spans="1:31" ht="15" customHeight="1">
      <c r="A597" s="11" t="str">
        <f>IF(B597="","","W"&amp;B597&amp;"-"&amp;TEXT(COUNTIF($B$5:B597,B597),"000"))</f>
        <v/>
      </c>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spans="1:31" ht="15" customHeight="1">
      <c r="A598" s="11" t="str">
        <f>IF(B598="","","W"&amp;B598&amp;"-"&amp;TEXT(COUNTIF($B$5:B598,B598),"000"))</f>
        <v/>
      </c>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spans="1:31" ht="15" customHeight="1">
      <c r="A599" s="11" t="str">
        <f>IF(B599="","","W"&amp;B599&amp;"-"&amp;TEXT(COUNTIF($B$5:B599,B599),"000"))</f>
        <v/>
      </c>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spans="1:31" ht="15" customHeight="1">
      <c r="A600" s="11" t="str">
        <f>IF(B600="","","W"&amp;B600&amp;"-"&amp;TEXT(COUNTIF($B$5:B600,B600),"000"))</f>
        <v/>
      </c>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spans="1:31" ht="15" customHeight="1">
      <c r="A601" s="11" t="str">
        <f>IF(B601="","","W"&amp;B601&amp;"-"&amp;TEXT(COUNTIF($B$5:B601,B601),"000"))</f>
        <v/>
      </c>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spans="1:31" ht="15" customHeight="1">
      <c r="A602" s="11" t="str">
        <f>IF(B602="","","W"&amp;B602&amp;"-"&amp;TEXT(COUNTIF($B$5:B602,B602),"000"))</f>
        <v/>
      </c>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spans="1:31" ht="15" customHeight="1">
      <c r="A603" s="11" t="str">
        <f>IF(B603="","","W"&amp;B603&amp;"-"&amp;TEXT(COUNTIF($B$5:B603,B603),"000"))</f>
        <v/>
      </c>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spans="1:31" ht="15" customHeight="1">
      <c r="A604" s="11" t="str">
        <f>IF(B604="","","W"&amp;B604&amp;"-"&amp;TEXT(COUNTIF($B$5:B604,B604),"000"))</f>
        <v/>
      </c>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spans="1:31" ht="15" customHeight="1">
      <c r="A605" s="11" t="str">
        <f>IF(B605="","","W"&amp;B605&amp;"-"&amp;TEXT(COUNTIF($B$5:B605,B605),"000"))</f>
        <v/>
      </c>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spans="1:31" ht="15" customHeight="1">
      <c r="A606" s="11" t="str">
        <f>IF(B606="","","W"&amp;B606&amp;"-"&amp;TEXT(COUNTIF($B$5:B606,B606),"000"))</f>
        <v/>
      </c>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spans="1:31" ht="15" customHeight="1">
      <c r="A607" s="11" t="str">
        <f>IF(B607="","","W"&amp;B607&amp;"-"&amp;TEXT(COUNTIF($B$5:B607,B607),"000"))</f>
        <v/>
      </c>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spans="1:31" ht="15" customHeight="1">
      <c r="A608" s="11" t="str">
        <f>IF(B608="","","W"&amp;B608&amp;"-"&amp;TEXT(COUNTIF($B$5:B608,B608),"000"))</f>
        <v/>
      </c>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spans="1:31" ht="15" customHeight="1">
      <c r="A609" s="11" t="str">
        <f>IF(B609="","","W"&amp;B609&amp;"-"&amp;TEXT(COUNTIF($B$5:B609,B609),"000"))</f>
        <v/>
      </c>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spans="1:31" ht="15" customHeight="1">
      <c r="A610" s="11" t="str">
        <f>IF(B610="","","W"&amp;B610&amp;"-"&amp;TEXT(COUNTIF($B$5:B610,B610),"000"))</f>
        <v/>
      </c>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spans="1:31" ht="15" customHeight="1">
      <c r="A611" s="11" t="str">
        <f>IF(B611="","","W"&amp;B611&amp;"-"&amp;TEXT(COUNTIF($B$5:B611,B611),"000"))</f>
        <v/>
      </c>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spans="1:31" ht="15" customHeight="1">
      <c r="A612" s="11" t="str">
        <f>IF(B612="","","W"&amp;B612&amp;"-"&amp;TEXT(COUNTIF($B$5:B612,B612),"000"))</f>
        <v/>
      </c>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spans="1:31" ht="15" customHeight="1">
      <c r="A613" s="11" t="str">
        <f>IF(B613="","","W"&amp;B613&amp;"-"&amp;TEXT(COUNTIF($B$5:B613,B613),"000"))</f>
        <v/>
      </c>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spans="1:31" ht="15" customHeight="1">
      <c r="A614" s="11" t="str">
        <f>IF(B614="","","W"&amp;B614&amp;"-"&amp;TEXT(COUNTIF($B$5:B614,B614),"000"))</f>
        <v/>
      </c>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spans="1:31" ht="15" customHeight="1">
      <c r="A615" s="11" t="str">
        <f>IF(B615="","","W"&amp;B615&amp;"-"&amp;TEXT(COUNTIF($B$5:B615,B615),"000"))</f>
        <v/>
      </c>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spans="1:31" ht="15" customHeight="1">
      <c r="A616" s="11" t="str">
        <f>IF(B616="","","W"&amp;B616&amp;"-"&amp;TEXT(COUNTIF($B$5:B616,B616),"000"))</f>
        <v/>
      </c>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spans="1:31" ht="15" customHeight="1">
      <c r="A617" s="11" t="str">
        <f>IF(B617="","","W"&amp;B617&amp;"-"&amp;TEXT(COUNTIF($B$5:B617,B617),"000"))</f>
        <v/>
      </c>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spans="1:31" ht="15" customHeight="1">
      <c r="A618" s="11" t="str">
        <f>IF(B618="","","W"&amp;B618&amp;"-"&amp;TEXT(COUNTIF($B$5:B618,B618),"000"))</f>
        <v/>
      </c>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spans="1:31" ht="15" customHeight="1">
      <c r="A619" s="11" t="str">
        <f>IF(B619="","","W"&amp;B619&amp;"-"&amp;TEXT(COUNTIF($B$5:B619,B619),"000"))</f>
        <v/>
      </c>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spans="1:31" ht="15" customHeight="1">
      <c r="A620" s="11" t="str">
        <f>IF(B620="","","W"&amp;B620&amp;"-"&amp;TEXT(COUNTIF($B$5:B620,B620),"000"))</f>
        <v/>
      </c>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spans="1:31" ht="15" customHeight="1">
      <c r="A621" s="11" t="str">
        <f>IF(B621="","","W"&amp;B621&amp;"-"&amp;TEXT(COUNTIF($B$5:B621,B621),"000"))</f>
        <v/>
      </c>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spans="1:31" ht="15" customHeight="1">
      <c r="A622" s="11" t="str">
        <f>IF(B622="","","W"&amp;B622&amp;"-"&amp;TEXT(COUNTIF($B$5:B622,B622),"000"))</f>
        <v/>
      </c>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spans="1:31" ht="15" customHeight="1">
      <c r="A623" s="11" t="str">
        <f>IF(B623="","","W"&amp;B623&amp;"-"&amp;TEXT(COUNTIF($B$5:B623,B623),"000"))</f>
        <v/>
      </c>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spans="1:31" ht="15" customHeight="1">
      <c r="A624" s="11" t="str">
        <f>IF(B624="","","W"&amp;B624&amp;"-"&amp;TEXT(COUNTIF($B$5:B624,B624),"000"))</f>
        <v/>
      </c>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spans="1:31" ht="15" customHeight="1">
      <c r="A625" s="11" t="str">
        <f>IF(B625="","","W"&amp;B625&amp;"-"&amp;TEXT(COUNTIF($B$5:B625,B625),"000"))</f>
        <v/>
      </c>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spans="1:31" ht="15" customHeight="1">
      <c r="A626" s="11" t="str">
        <f>IF(B626="","","W"&amp;B626&amp;"-"&amp;TEXT(COUNTIF($B$5:B626,B626),"000"))</f>
        <v/>
      </c>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spans="1:31" ht="15" customHeight="1">
      <c r="A627" s="11" t="str">
        <f>IF(B627="","","W"&amp;B627&amp;"-"&amp;TEXT(COUNTIF($B$5:B627,B627),"000"))</f>
        <v/>
      </c>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spans="1:31" ht="15" customHeight="1">
      <c r="A628" s="11" t="str">
        <f>IF(B628="","","W"&amp;B628&amp;"-"&amp;TEXT(COUNTIF($B$5:B628,B628),"000"))</f>
        <v/>
      </c>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spans="1:31" ht="15" customHeight="1">
      <c r="A629" s="11" t="str">
        <f>IF(B629="","","W"&amp;B629&amp;"-"&amp;TEXT(COUNTIF($B$5:B629,B629),"000"))</f>
        <v/>
      </c>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spans="1:31" ht="15" customHeight="1">
      <c r="A630" s="11" t="str">
        <f>IF(B630="","","W"&amp;B630&amp;"-"&amp;TEXT(COUNTIF($B$5:B630,B630),"000"))</f>
        <v/>
      </c>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spans="1:31" ht="15" customHeight="1">
      <c r="A631" s="11" t="str">
        <f>IF(B631="","","W"&amp;B631&amp;"-"&amp;TEXT(COUNTIF($B$5:B631,B631),"000"))</f>
        <v/>
      </c>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spans="1:31" ht="15" customHeight="1">
      <c r="A632" s="11" t="str">
        <f>IF(B632="","","W"&amp;B632&amp;"-"&amp;TEXT(COUNTIF($B$5:B632,B632),"000"))</f>
        <v/>
      </c>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spans="1:31" ht="15" customHeight="1">
      <c r="A633" s="11" t="str">
        <f>IF(B633="","","W"&amp;B633&amp;"-"&amp;TEXT(COUNTIF($B$5:B633,B633),"000"))</f>
        <v/>
      </c>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spans="1:31" ht="15" customHeight="1">
      <c r="A634" s="11" t="str">
        <f>IF(B634="","","W"&amp;B634&amp;"-"&amp;TEXT(COUNTIF($B$5:B634,B634),"000"))</f>
        <v/>
      </c>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spans="1:31" ht="15" customHeight="1">
      <c r="A635" s="11" t="str">
        <f>IF(B635="","","W"&amp;B635&amp;"-"&amp;TEXT(COUNTIF($B$5:B635,B635),"000"))</f>
        <v/>
      </c>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spans="1:31" ht="15" customHeight="1">
      <c r="A636" s="11" t="str">
        <f>IF(B636="","","W"&amp;B636&amp;"-"&amp;TEXT(COUNTIF($B$5:B636,B636),"000"))</f>
        <v/>
      </c>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spans="1:31" ht="15" customHeight="1">
      <c r="A637" s="11" t="str">
        <f>IF(B637="","","W"&amp;B637&amp;"-"&amp;TEXT(COUNTIF($B$5:B637,B637),"000"))</f>
        <v/>
      </c>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spans="1:31" ht="15" customHeight="1">
      <c r="A638" s="11" t="str">
        <f>IF(B638="","","W"&amp;B638&amp;"-"&amp;TEXT(COUNTIF($B$5:B638,B638),"000"))</f>
        <v/>
      </c>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spans="1:31" ht="15" customHeight="1">
      <c r="A639" s="11" t="str">
        <f>IF(B639="","","W"&amp;B639&amp;"-"&amp;TEXT(COUNTIF($B$5:B639,B639),"000"))</f>
        <v/>
      </c>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spans="1:31" ht="15" customHeight="1">
      <c r="A640" s="11" t="str">
        <f>IF(B640="","","W"&amp;B640&amp;"-"&amp;TEXT(COUNTIF($B$5:B640,B640),"000"))</f>
        <v/>
      </c>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spans="1:31" ht="15" customHeight="1">
      <c r="A641" s="11" t="str">
        <f>IF(B641="","","W"&amp;B641&amp;"-"&amp;TEXT(COUNTIF($B$5:B641,B641),"000"))</f>
        <v/>
      </c>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spans="1:31" ht="15" customHeight="1">
      <c r="A642" s="11" t="str">
        <f>IF(B642="","","W"&amp;B642&amp;"-"&amp;TEXT(COUNTIF($B$5:B642,B642),"000"))</f>
        <v/>
      </c>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spans="1:31" ht="15" customHeight="1">
      <c r="A643" s="11" t="str">
        <f>IF(B643="","","W"&amp;B643&amp;"-"&amp;TEXT(COUNTIF($B$5:B643,B643),"000"))</f>
        <v/>
      </c>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spans="1:31" ht="15" customHeight="1">
      <c r="A644" s="11" t="str">
        <f>IF(B644="","","W"&amp;B644&amp;"-"&amp;TEXT(COUNTIF($B$5:B644,B644),"000"))</f>
        <v/>
      </c>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spans="1:31" ht="15" customHeight="1">
      <c r="A645" s="11" t="str">
        <f>IF(B645="","","W"&amp;B645&amp;"-"&amp;TEXT(COUNTIF($B$5:B645,B645),"000"))</f>
        <v/>
      </c>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spans="1:31" ht="15" customHeight="1">
      <c r="A646" s="11" t="str">
        <f>IF(B646="","","W"&amp;B646&amp;"-"&amp;TEXT(COUNTIF($B$5:B646,B646),"000"))</f>
        <v/>
      </c>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spans="1:31" ht="15" customHeight="1">
      <c r="A647" s="11" t="str">
        <f>IF(B647="","","W"&amp;B647&amp;"-"&amp;TEXT(COUNTIF($B$5:B647,B647),"000"))</f>
        <v/>
      </c>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spans="1:31" ht="15" customHeight="1">
      <c r="A648" s="11" t="str">
        <f>IF(B648="","","W"&amp;B648&amp;"-"&amp;TEXT(COUNTIF($B$5:B648,B648),"000"))</f>
        <v/>
      </c>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spans="1:31" ht="15" customHeight="1">
      <c r="A649" s="11" t="str">
        <f>IF(B649="","","W"&amp;B649&amp;"-"&amp;TEXT(COUNTIF($B$5:B649,B649),"000"))</f>
        <v/>
      </c>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spans="1:31" ht="15" customHeight="1">
      <c r="A650" s="11" t="str">
        <f>IF(B650="","","W"&amp;B650&amp;"-"&amp;TEXT(COUNTIF($B$5:B650,B650),"000"))</f>
        <v/>
      </c>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spans="1:31" ht="15" customHeight="1">
      <c r="A651" s="11" t="str">
        <f>IF(B651="","","W"&amp;B651&amp;"-"&amp;TEXT(COUNTIF($B$5:B651,B651),"000"))</f>
        <v/>
      </c>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spans="1:31" ht="15" customHeight="1">
      <c r="A652" s="11" t="str">
        <f>IF(B652="","","W"&amp;B652&amp;"-"&amp;TEXT(COUNTIF($B$5:B652,B652),"000"))</f>
        <v/>
      </c>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spans="1:31" ht="15" customHeight="1">
      <c r="A653" s="11" t="str">
        <f>IF(B653="","","W"&amp;B653&amp;"-"&amp;TEXT(COUNTIF($B$5:B653,B653),"000"))</f>
        <v/>
      </c>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spans="1:31" ht="15" customHeight="1">
      <c r="A654" s="11" t="str">
        <f>IF(B654="","","W"&amp;B654&amp;"-"&amp;TEXT(COUNTIF($B$5:B654,B654),"000"))</f>
        <v/>
      </c>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spans="1:31" ht="15" customHeight="1">
      <c r="A655" s="11" t="str">
        <f>IF(B655="","","W"&amp;B655&amp;"-"&amp;TEXT(COUNTIF($B$5:B655,B655),"000"))</f>
        <v/>
      </c>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spans="1:31" ht="15" customHeight="1">
      <c r="A656" s="11" t="str">
        <f>IF(B656="","","W"&amp;B656&amp;"-"&amp;TEXT(COUNTIF($B$5:B656,B656),"000"))</f>
        <v/>
      </c>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spans="1:31" ht="15" customHeight="1">
      <c r="A657" s="11" t="str">
        <f>IF(B657="","","W"&amp;B657&amp;"-"&amp;TEXT(COUNTIF($B$5:B657,B657),"000"))</f>
        <v/>
      </c>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spans="1:31" ht="15" customHeight="1">
      <c r="A658" s="11" t="str">
        <f>IF(B658="","","W"&amp;B658&amp;"-"&amp;TEXT(COUNTIF($B$5:B658,B658),"000"))</f>
        <v/>
      </c>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spans="1:31" ht="15" customHeight="1">
      <c r="A659" s="11" t="str">
        <f>IF(B659="","","W"&amp;B659&amp;"-"&amp;TEXT(COUNTIF($B$5:B659,B659),"000"))</f>
        <v/>
      </c>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spans="1:31" ht="15" customHeight="1">
      <c r="A660" s="11" t="str">
        <f>IF(B660="","","W"&amp;B660&amp;"-"&amp;TEXT(COUNTIF($B$5:B660,B660),"000"))</f>
        <v/>
      </c>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spans="1:31" ht="15" customHeight="1">
      <c r="A661" s="11" t="str">
        <f>IF(B661="","","W"&amp;B661&amp;"-"&amp;TEXT(COUNTIF($B$5:B661,B661),"000"))</f>
        <v/>
      </c>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spans="1:31" ht="15" customHeight="1">
      <c r="A662" s="11" t="str">
        <f>IF(B662="","","W"&amp;B662&amp;"-"&amp;TEXT(COUNTIF($B$5:B662,B662),"000"))</f>
        <v/>
      </c>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spans="1:31" ht="15" customHeight="1">
      <c r="A663" s="11" t="str">
        <f>IF(B663="","","W"&amp;B663&amp;"-"&amp;TEXT(COUNTIF($B$5:B663,B663),"000"))</f>
        <v/>
      </c>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spans="1:31" ht="15" customHeight="1">
      <c r="A664" s="11" t="str">
        <f>IF(B664="","","W"&amp;B664&amp;"-"&amp;TEXT(COUNTIF($B$5:B664,B664),"000"))</f>
        <v/>
      </c>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spans="1:31" ht="15" customHeight="1">
      <c r="A665" s="11" t="str">
        <f>IF(B665="","","W"&amp;B665&amp;"-"&amp;TEXT(COUNTIF($B$5:B665,B665),"000"))</f>
        <v/>
      </c>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spans="1:31" ht="15" customHeight="1">
      <c r="A666" s="11" t="str">
        <f>IF(B666="","","W"&amp;B666&amp;"-"&amp;TEXT(COUNTIF($B$5:B666,B666),"000"))</f>
        <v/>
      </c>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spans="1:31" ht="15" customHeight="1">
      <c r="A667" s="11" t="str">
        <f>IF(B667="","","W"&amp;B667&amp;"-"&amp;TEXT(COUNTIF($B$5:B667,B667),"000"))</f>
        <v/>
      </c>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spans="1:31" ht="15" customHeight="1">
      <c r="A668" s="11" t="str">
        <f>IF(B668="","","W"&amp;B668&amp;"-"&amp;TEXT(COUNTIF($B$5:B668,B668),"000"))</f>
        <v/>
      </c>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spans="1:31" ht="15" customHeight="1">
      <c r="A669" s="11" t="str">
        <f>IF(B669="","","W"&amp;B669&amp;"-"&amp;TEXT(COUNTIF($B$5:B669,B669),"000"))</f>
        <v/>
      </c>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spans="1:31" ht="15" customHeight="1">
      <c r="A670" s="11" t="str">
        <f>IF(B670="","","W"&amp;B670&amp;"-"&amp;TEXT(COUNTIF($B$5:B670,B670),"000"))</f>
        <v/>
      </c>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spans="1:31" ht="15" customHeight="1">
      <c r="A671" s="11" t="str">
        <f>IF(B671="","","W"&amp;B671&amp;"-"&amp;TEXT(COUNTIF($B$5:B671,B671),"000"))</f>
        <v/>
      </c>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spans="1:31" ht="15" customHeight="1">
      <c r="A672" s="11" t="str">
        <f>IF(B672="","","W"&amp;B672&amp;"-"&amp;TEXT(COUNTIF($B$5:B672,B672),"000"))</f>
        <v/>
      </c>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spans="1:31" ht="15" customHeight="1">
      <c r="A673" s="11" t="str">
        <f>IF(B673="","","W"&amp;B673&amp;"-"&amp;TEXT(COUNTIF($B$5:B673,B673),"000"))</f>
        <v/>
      </c>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spans="1:31" ht="15" customHeight="1">
      <c r="A674" s="11" t="str">
        <f>IF(B674="","","W"&amp;B674&amp;"-"&amp;TEXT(COUNTIF($B$5:B674,B674),"000"))</f>
        <v/>
      </c>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spans="1:31" ht="15" customHeight="1">
      <c r="A675" s="11" t="str">
        <f>IF(B675="","","W"&amp;B675&amp;"-"&amp;TEXT(COUNTIF($B$5:B675,B675),"000"))</f>
        <v/>
      </c>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spans="1:31" ht="15" customHeight="1">
      <c r="A676" s="11" t="str">
        <f>IF(B676="","","W"&amp;B676&amp;"-"&amp;TEXT(COUNTIF($B$5:B676,B676),"000"))</f>
        <v/>
      </c>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spans="1:31" ht="15" customHeight="1">
      <c r="A677" s="11" t="str">
        <f>IF(B677="","","W"&amp;B677&amp;"-"&amp;TEXT(COUNTIF($B$5:B677,B677),"000"))</f>
        <v/>
      </c>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spans="1:31" ht="15" customHeight="1">
      <c r="A678" s="11" t="str">
        <f>IF(B678="","","W"&amp;B678&amp;"-"&amp;TEXT(COUNTIF($B$5:B678,B678),"000"))</f>
        <v/>
      </c>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spans="1:31" ht="15" customHeight="1">
      <c r="A679" s="11" t="str">
        <f>IF(B679="","","W"&amp;B679&amp;"-"&amp;TEXT(COUNTIF($B$5:B679,B679),"000"))</f>
        <v/>
      </c>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spans="1:31" ht="15" customHeight="1">
      <c r="A680" s="11" t="str">
        <f>IF(B680="","","W"&amp;B680&amp;"-"&amp;TEXT(COUNTIF($B$5:B680,B680),"000"))</f>
        <v/>
      </c>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spans="1:31" ht="15" customHeight="1">
      <c r="A681" s="11" t="str">
        <f>IF(B681="","","W"&amp;B681&amp;"-"&amp;TEXT(COUNTIF($B$5:B681,B681),"000"))</f>
        <v/>
      </c>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spans="1:31" ht="15" customHeight="1">
      <c r="A682" s="11" t="str">
        <f>IF(B682="","","W"&amp;B682&amp;"-"&amp;TEXT(COUNTIF($B$5:B682,B682),"000"))</f>
        <v/>
      </c>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spans="1:31" ht="15" customHeight="1">
      <c r="A683" s="11" t="str">
        <f>IF(B683="","","W"&amp;B683&amp;"-"&amp;TEXT(COUNTIF($B$5:B683,B683),"000"))</f>
        <v/>
      </c>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spans="1:31" ht="15" customHeight="1">
      <c r="A684" s="11" t="str">
        <f>IF(B684="","","W"&amp;B684&amp;"-"&amp;TEXT(COUNTIF($B$5:B684,B684),"000"))</f>
        <v/>
      </c>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spans="1:31" ht="15" customHeight="1">
      <c r="A685" s="11" t="str">
        <f>IF(B685="","","W"&amp;B685&amp;"-"&amp;TEXT(COUNTIF($B$5:B685,B685),"000"))</f>
        <v/>
      </c>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spans="1:31" ht="15" customHeight="1">
      <c r="A686" s="11" t="str">
        <f>IF(B686="","","W"&amp;B686&amp;"-"&amp;TEXT(COUNTIF($B$5:B686,B686),"000"))</f>
        <v/>
      </c>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spans="1:31" ht="15" customHeight="1">
      <c r="A687" s="11" t="str">
        <f>IF(B687="","","W"&amp;B687&amp;"-"&amp;TEXT(COUNTIF($B$5:B687,B687),"000"))</f>
        <v/>
      </c>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spans="1:31" ht="15" customHeight="1">
      <c r="A688" s="11" t="str">
        <f>IF(B688="","","W"&amp;B688&amp;"-"&amp;TEXT(COUNTIF($B$5:B688,B688),"000"))</f>
        <v/>
      </c>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spans="1:31" ht="15" customHeight="1">
      <c r="A689" s="11" t="str">
        <f>IF(B689="","","W"&amp;B689&amp;"-"&amp;TEXT(COUNTIF($B$5:B689,B689),"000"))</f>
        <v/>
      </c>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spans="1:31" ht="15" customHeight="1">
      <c r="A690" s="11" t="str">
        <f>IF(B690="","","W"&amp;B690&amp;"-"&amp;TEXT(COUNTIF($B$5:B690,B690),"000"))</f>
        <v/>
      </c>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spans="1:31" ht="15" customHeight="1">
      <c r="A691" s="11" t="str">
        <f>IF(B691="","","W"&amp;B691&amp;"-"&amp;TEXT(COUNTIF($B$5:B691,B691),"000"))</f>
        <v/>
      </c>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spans="1:31" ht="15" customHeight="1">
      <c r="A692" s="11" t="str">
        <f>IF(B692="","","W"&amp;B692&amp;"-"&amp;TEXT(COUNTIF($B$5:B692,B692),"000"))</f>
        <v/>
      </c>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spans="1:31" ht="15" customHeight="1">
      <c r="A693" s="11" t="str">
        <f>IF(B693="","","W"&amp;B693&amp;"-"&amp;TEXT(COUNTIF($B$5:B693,B693),"000"))</f>
        <v/>
      </c>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spans="1:31" ht="15" customHeight="1">
      <c r="A694" s="11" t="str">
        <f>IF(B694="","","W"&amp;B694&amp;"-"&amp;TEXT(COUNTIF($B$5:B694,B694),"000"))</f>
        <v/>
      </c>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spans="1:31" ht="15" customHeight="1">
      <c r="A695" s="11" t="str">
        <f>IF(B695="","","W"&amp;B695&amp;"-"&amp;TEXT(COUNTIF($B$5:B695,B695),"000"))</f>
        <v/>
      </c>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spans="1:31" ht="15" customHeight="1">
      <c r="A696" s="11" t="str">
        <f>IF(B696="","","W"&amp;B696&amp;"-"&amp;TEXT(COUNTIF($B$5:B696,B696),"000"))</f>
        <v/>
      </c>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spans="1:31" ht="15" customHeight="1">
      <c r="A697" s="11" t="str">
        <f>IF(B697="","","W"&amp;B697&amp;"-"&amp;TEXT(COUNTIF($B$5:B697,B697),"000"))</f>
        <v/>
      </c>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spans="1:31" ht="15" customHeight="1">
      <c r="A698" s="11" t="str">
        <f>IF(B698="","","W"&amp;B698&amp;"-"&amp;TEXT(COUNTIF($B$5:B698,B698),"000"))</f>
        <v/>
      </c>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spans="1:31" ht="15" customHeight="1">
      <c r="A699" s="11" t="str">
        <f>IF(B699="","","W"&amp;B699&amp;"-"&amp;TEXT(COUNTIF($B$5:B699,B699),"000"))</f>
        <v/>
      </c>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spans="1:31" ht="15" customHeight="1">
      <c r="A700" s="11" t="str">
        <f>IF(B700="","","W"&amp;B700&amp;"-"&amp;TEXT(COUNTIF($B$5:B700,B700),"000"))</f>
        <v/>
      </c>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spans="1:31" ht="15" customHeight="1">
      <c r="A701" s="11" t="str">
        <f>IF(B701="","","W"&amp;B701&amp;"-"&amp;TEXT(COUNTIF($B$5:B701,B701),"000"))</f>
        <v/>
      </c>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spans="1:31" ht="15" customHeight="1">
      <c r="A702" s="11" t="str">
        <f>IF(B702="","","W"&amp;B702&amp;"-"&amp;TEXT(COUNTIF($B$5:B702,B702),"000"))</f>
        <v/>
      </c>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spans="1:31" ht="15" customHeight="1">
      <c r="A703" s="11" t="str">
        <f>IF(B703="","","W"&amp;B703&amp;"-"&amp;TEXT(COUNTIF($B$5:B703,B703),"000"))</f>
        <v/>
      </c>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spans="1:31" ht="15" customHeight="1">
      <c r="A704" s="11" t="str">
        <f>IF(B704="","","W"&amp;B704&amp;"-"&amp;TEXT(COUNTIF($B$5:B704,B704),"000"))</f>
        <v/>
      </c>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spans="1:31" ht="15" customHeight="1">
      <c r="A705" s="11" t="str">
        <f>IF(B705="","","W"&amp;B705&amp;"-"&amp;TEXT(COUNTIF($B$5:B705,B705),"000"))</f>
        <v/>
      </c>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spans="1:31" ht="15" customHeight="1">
      <c r="A706" s="11" t="str">
        <f>IF(B706="","","W"&amp;B706&amp;"-"&amp;TEXT(COUNTIF($B$5:B706,B706),"000"))</f>
        <v/>
      </c>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spans="1:31" ht="15" customHeight="1">
      <c r="A707" s="11" t="str">
        <f>IF(B707="","","W"&amp;B707&amp;"-"&amp;TEXT(COUNTIF($B$5:B707,B707),"000"))</f>
        <v/>
      </c>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spans="1:31" ht="15" customHeight="1">
      <c r="A708" s="11" t="str">
        <f>IF(B708="","","W"&amp;B708&amp;"-"&amp;TEXT(COUNTIF($B$5:B708,B708),"000"))</f>
        <v/>
      </c>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spans="1:31" ht="15" customHeight="1">
      <c r="A709" s="11" t="str">
        <f>IF(B709="","","W"&amp;B709&amp;"-"&amp;TEXT(COUNTIF($B$5:B709,B709),"000"))</f>
        <v/>
      </c>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spans="1:31" ht="15" customHeight="1">
      <c r="A710" s="11" t="str">
        <f>IF(B710="","","W"&amp;B710&amp;"-"&amp;TEXT(COUNTIF($B$5:B710,B710),"000"))</f>
        <v/>
      </c>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spans="1:31" ht="15" customHeight="1">
      <c r="A711" s="11" t="str">
        <f>IF(B711="","","W"&amp;B711&amp;"-"&amp;TEXT(COUNTIF($B$5:B711,B711),"000"))</f>
        <v/>
      </c>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spans="1:31" ht="15" customHeight="1">
      <c r="A712" s="11" t="str">
        <f>IF(B712="","","W"&amp;B712&amp;"-"&amp;TEXT(COUNTIF($B$5:B712,B712),"000"))</f>
        <v/>
      </c>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spans="1:31" ht="15" customHeight="1">
      <c r="A713" s="11" t="str">
        <f>IF(B713="","","W"&amp;B713&amp;"-"&amp;TEXT(COUNTIF($B$5:B713,B713),"000"))</f>
        <v/>
      </c>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spans="1:31" ht="15" customHeight="1">
      <c r="A714" s="11" t="str">
        <f>IF(B714="","","W"&amp;B714&amp;"-"&amp;TEXT(COUNTIF($B$5:B714,B714),"000"))</f>
        <v/>
      </c>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spans="1:31" ht="15" customHeight="1">
      <c r="A715" s="11" t="str">
        <f>IF(B715="","","W"&amp;B715&amp;"-"&amp;TEXT(COUNTIF($B$5:B715,B715),"000"))</f>
        <v/>
      </c>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spans="1:31" ht="15" customHeight="1">
      <c r="A716" s="11" t="str">
        <f>IF(B716="","","W"&amp;B716&amp;"-"&amp;TEXT(COUNTIF($B$5:B716,B716),"000"))</f>
        <v/>
      </c>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spans="1:31" ht="15" customHeight="1">
      <c r="A717" s="11" t="str">
        <f>IF(B717="","","W"&amp;B717&amp;"-"&amp;TEXT(COUNTIF($B$5:B717,B717),"000"))</f>
        <v/>
      </c>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spans="1:31" ht="15" customHeight="1">
      <c r="A718" s="11" t="str">
        <f>IF(B718="","","W"&amp;B718&amp;"-"&amp;TEXT(COUNTIF($B$5:B718,B718),"000"))</f>
        <v/>
      </c>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spans="1:31" ht="15" customHeight="1">
      <c r="A719" s="11" t="str">
        <f>IF(B719="","","W"&amp;B719&amp;"-"&amp;TEXT(COUNTIF($B$5:B719,B719),"000"))</f>
        <v/>
      </c>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spans="1:31" ht="15" customHeight="1">
      <c r="A720" s="11" t="str">
        <f>IF(B720="","","W"&amp;B720&amp;"-"&amp;TEXT(COUNTIF($B$5:B720,B720),"000"))</f>
        <v/>
      </c>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spans="1:31" ht="15" customHeight="1">
      <c r="A721" s="11" t="str">
        <f>IF(B721="","","W"&amp;B721&amp;"-"&amp;TEXT(COUNTIF($B$5:B721,B721),"000"))</f>
        <v/>
      </c>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spans="1:31" ht="15" customHeight="1">
      <c r="A722" s="11" t="str">
        <f>IF(B722="","","W"&amp;B722&amp;"-"&amp;TEXT(COUNTIF($B$5:B722,B722),"000"))</f>
        <v/>
      </c>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spans="1:31" ht="15" customHeight="1">
      <c r="A723" s="11" t="str">
        <f>IF(B723="","","W"&amp;B723&amp;"-"&amp;TEXT(COUNTIF($B$5:B723,B723),"000"))</f>
        <v/>
      </c>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spans="1:31" ht="15" customHeight="1">
      <c r="A724" s="11" t="str">
        <f>IF(B724="","","W"&amp;B724&amp;"-"&amp;TEXT(COUNTIF($B$5:B724,B724),"000"))</f>
        <v/>
      </c>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spans="1:31" ht="15" customHeight="1">
      <c r="A725" s="11" t="str">
        <f>IF(B725="","","W"&amp;B725&amp;"-"&amp;TEXT(COUNTIF($B$5:B725,B725),"000"))</f>
        <v/>
      </c>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spans="1:31" ht="15" customHeight="1">
      <c r="A726" s="11" t="str">
        <f>IF(B726="","","W"&amp;B726&amp;"-"&amp;TEXT(COUNTIF($B$5:B726,B726),"000"))</f>
        <v/>
      </c>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spans="1:31" ht="15" customHeight="1">
      <c r="A727" s="11" t="str">
        <f>IF(B727="","","W"&amp;B727&amp;"-"&amp;TEXT(COUNTIF($B$5:B727,B727),"000"))</f>
        <v/>
      </c>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spans="1:31" ht="15" customHeight="1">
      <c r="A728" s="11" t="str">
        <f>IF(B728="","","W"&amp;B728&amp;"-"&amp;TEXT(COUNTIF($B$5:B728,B728),"000"))</f>
        <v/>
      </c>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spans="1:31" ht="15" customHeight="1">
      <c r="A729" s="11" t="str">
        <f>IF(B729="","","W"&amp;B729&amp;"-"&amp;TEXT(COUNTIF($B$5:B729,B729),"000"))</f>
        <v/>
      </c>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spans="1:31" ht="15" customHeight="1">
      <c r="A730" s="11" t="str">
        <f>IF(B730="","","W"&amp;B730&amp;"-"&amp;TEXT(COUNTIF($B$5:B730,B730),"000"))</f>
        <v/>
      </c>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spans="1:31" ht="15" customHeight="1">
      <c r="A731" s="11" t="str">
        <f>IF(B731="","","W"&amp;B731&amp;"-"&amp;TEXT(COUNTIF($B$5:B731,B731),"000"))</f>
        <v/>
      </c>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spans="1:31" ht="15" customHeight="1">
      <c r="A732" s="11" t="str">
        <f>IF(B732="","","W"&amp;B732&amp;"-"&amp;TEXT(COUNTIF($B$5:B732,B732),"000"))</f>
        <v/>
      </c>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spans="1:31" ht="15" customHeight="1">
      <c r="A733" s="11" t="str">
        <f>IF(B733="","","W"&amp;B733&amp;"-"&amp;TEXT(COUNTIF($B$5:B733,B733),"000"))</f>
        <v/>
      </c>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spans="1:31" ht="15" customHeight="1">
      <c r="A734" s="11" t="str">
        <f>IF(B734="","","W"&amp;B734&amp;"-"&amp;TEXT(COUNTIF($B$5:B734,B734),"000"))</f>
        <v/>
      </c>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spans="1:31" ht="15" customHeight="1">
      <c r="A735" s="11" t="str">
        <f>IF(B735="","","W"&amp;B735&amp;"-"&amp;TEXT(COUNTIF($B$5:B735,B735),"000"))</f>
        <v/>
      </c>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spans="1:31" ht="15" customHeight="1">
      <c r="A736" s="11" t="str">
        <f>IF(B736="","","W"&amp;B736&amp;"-"&amp;TEXT(COUNTIF($B$5:B736,B736),"000"))</f>
        <v/>
      </c>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spans="1:31" ht="15" customHeight="1">
      <c r="A737" s="11" t="str">
        <f>IF(B737="","","W"&amp;B737&amp;"-"&amp;TEXT(COUNTIF($B$5:B737,B737),"000"))</f>
        <v/>
      </c>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spans="1:31" ht="15" customHeight="1">
      <c r="A738" s="11" t="str">
        <f>IF(B738="","","W"&amp;B738&amp;"-"&amp;TEXT(COUNTIF($B$5:B738,B738),"000"))</f>
        <v/>
      </c>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spans="1:31" ht="15" customHeight="1">
      <c r="A739" s="11" t="str">
        <f>IF(B739="","","W"&amp;B739&amp;"-"&amp;TEXT(COUNTIF($B$5:B739,B739),"000"))</f>
        <v/>
      </c>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spans="1:31" ht="15" customHeight="1">
      <c r="A740" s="11" t="str">
        <f>IF(B740="","","W"&amp;B740&amp;"-"&amp;TEXT(COUNTIF($B$5:B740,B740),"000"))</f>
        <v/>
      </c>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spans="1:31" ht="15" customHeight="1">
      <c r="A741" s="11" t="str">
        <f>IF(B741="","","W"&amp;B741&amp;"-"&amp;TEXT(COUNTIF($B$5:B741,B741),"000"))</f>
        <v/>
      </c>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spans="1:31" ht="15" customHeight="1">
      <c r="A742" s="11" t="str">
        <f>IF(B742="","","W"&amp;B742&amp;"-"&amp;TEXT(COUNTIF($B$5:B742,B742),"000"))</f>
        <v/>
      </c>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spans="1:31" ht="15" customHeight="1">
      <c r="A743" s="11" t="str">
        <f>IF(B743="","","W"&amp;B743&amp;"-"&amp;TEXT(COUNTIF($B$5:B743,B743),"000"))</f>
        <v/>
      </c>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spans="1:31" ht="15" customHeight="1">
      <c r="A744" s="11" t="str">
        <f>IF(B744="","","W"&amp;B744&amp;"-"&amp;TEXT(COUNTIF($B$5:B744,B744),"000"))</f>
        <v/>
      </c>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spans="1:31" ht="15" customHeight="1">
      <c r="A745" s="11" t="str">
        <f>IF(B745="","","W"&amp;B745&amp;"-"&amp;TEXT(COUNTIF($B$5:B745,B745),"000"))</f>
        <v/>
      </c>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spans="1:31" ht="15" customHeight="1">
      <c r="A746" s="11" t="str">
        <f>IF(B746="","","W"&amp;B746&amp;"-"&amp;TEXT(COUNTIF($B$5:B746,B746),"000"))</f>
        <v/>
      </c>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spans="1:31" ht="15" customHeight="1">
      <c r="A747" s="11" t="str">
        <f>IF(B747="","","W"&amp;B747&amp;"-"&amp;TEXT(COUNTIF($B$5:B747,B747),"000"))</f>
        <v/>
      </c>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spans="1:31" ht="15" customHeight="1">
      <c r="A748" s="11" t="str">
        <f>IF(B748="","","W"&amp;B748&amp;"-"&amp;TEXT(COUNTIF($B$5:B748,B748),"000"))</f>
        <v/>
      </c>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spans="1:31" ht="15" customHeight="1">
      <c r="A749" s="11" t="str">
        <f>IF(B749="","","W"&amp;B749&amp;"-"&amp;TEXT(COUNTIF($B$5:B749,B749),"000"))</f>
        <v/>
      </c>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spans="1:31" ht="15" customHeight="1">
      <c r="A750" s="11" t="str">
        <f>IF(B750="","","W"&amp;B750&amp;"-"&amp;TEXT(COUNTIF($B$5:B750,B750),"000"))</f>
        <v/>
      </c>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spans="1:31" ht="15" customHeight="1">
      <c r="A751" s="11" t="str">
        <f>IF(B751="","","W"&amp;B751&amp;"-"&amp;TEXT(COUNTIF($B$5:B751,B751),"000"))</f>
        <v/>
      </c>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spans="1:31" ht="15" customHeight="1">
      <c r="A752" s="11" t="str">
        <f>IF(B752="","","W"&amp;B752&amp;"-"&amp;TEXT(COUNTIF($B$5:B752,B752),"000"))</f>
        <v/>
      </c>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spans="1:31" ht="15" customHeight="1">
      <c r="A753" s="11" t="str">
        <f>IF(B753="","","W"&amp;B753&amp;"-"&amp;TEXT(COUNTIF($B$5:B753,B753),"000"))</f>
        <v/>
      </c>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spans="1:31" ht="15" customHeight="1">
      <c r="A754" s="11" t="str">
        <f>IF(B754="","","W"&amp;B754&amp;"-"&amp;TEXT(COUNTIF($B$5:B754,B754),"000"))</f>
        <v/>
      </c>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spans="1:31" ht="15" customHeight="1">
      <c r="A755" s="11" t="str">
        <f>IF(B755="","","W"&amp;B755&amp;"-"&amp;TEXT(COUNTIF($B$5:B755,B755),"000"))</f>
        <v/>
      </c>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spans="1:31" ht="15" customHeight="1">
      <c r="A756" s="11" t="str">
        <f>IF(B756="","","W"&amp;B756&amp;"-"&amp;TEXT(COUNTIF($B$5:B756,B756),"000"))</f>
        <v/>
      </c>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spans="1:31" ht="15" customHeight="1">
      <c r="A757" s="11" t="str">
        <f>IF(B757="","","W"&amp;B757&amp;"-"&amp;TEXT(COUNTIF($B$5:B757,B757),"000"))</f>
        <v/>
      </c>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spans="1:31" ht="15" customHeight="1">
      <c r="A758" s="11" t="str">
        <f>IF(B758="","","W"&amp;B758&amp;"-"&amp;TEXT(COUNTIF($B$5:B758,B758),"000"))</f>
        <v/>
      </c>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spans="1:31" ht="15" customHeight="1">
      <c r="A759" s="11" t="str">
        <f>IF(B759="","","W"&amp;B759&amp;"-"&amp;TEXT(COUNTIF($B$5:B759,B759),"000"))</f>
        <v/>
      </c>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spans="1:31" ht="15" customHeight="1">
      <c r="A760" s="11" t="str">
        <f>IF(B760="","","W"&amp;B760&amp;"-"&amp;TEXT(COUNTIF($B$5:B760,B760),"000"))</f>
        <v/>
      </c>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spans="1:31" ht="15" customHeight="1">
      <c r="A761" s="11" t="str">
        <f>IF(B761="","","W"&amp;B761&amp;"-"&amp;TEXT(COUNTIF($B$5:B761,B761),"000"))</f>
        <v/>
      </c>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spans="1:31" ht="15" customHeight="1">
      <c r="A762" s="11" t="str">
        <f>IF(B762="","","W"&amp;B762&amp;"-"&amp;TEXT(COUNTIF($B$5:B762,B762),"000"))</f>
        <v/>
      </c>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spans="1:31" ht="15" customHeight="1">
      <c r="A763" s="11" t="str">
        <f>IF(B763="","","W"&amp;B763&amp;"-"&amp;TEXT(COUNTIF($B$5:B763,B763),"000"))</f>
        <v/>
      </c>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spans="1:31" ht="15" customHeight="1">
      <c r="A764" s="11" t="str">
        <f>IF(B764="","","W"&amp;B764&amp;"-"&amp;TEXT(COUNTIF($B$5:B764,B764),"000"))</f>
        <v/>
      </c>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spans="1:31" ht="15" customHeight="1">
      <c r="A765" s="11" t="str">
        <f>IF(B765="","","W"&amp;B765&amp;"-"&amp;TEXT(COUNTIF($B$5:B765,B765),"000"))</f>
        <v/>
      </c>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spans="1:31" ht="15" customHeight="1">
      <c r="A766" s="11" t="str">
        <f>IF(B766="","","W"&amp;B766&amp;"-"&amp;TEXT(COUNTIF($B$5:B766,B766),"000"))</f>
        <v/>
      </c>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spans="1:31" ht="15" customHeight="1">
      <c r="A767" s="11" t="str">
        <f>IF(B767="","","W"&amp;B767&amp;"-"&amp;TEXT(COUNTIF($B$5:B767,B767),"000"))</f>
        <v/>
      </c>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spans="1:31" ht="15" customHeight="1">
      <c r="A768" s="11" t="str">
        <f>IF(B768="","","W"&amp;B768&amp;"-"&amp;TEXT(COUNTIF($B$5:B768,B768),"000"))</f>
        <v/>
      </c>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spans="1:31" ht="15" customHeight="1">
      <c r="A769" s="11" t="str">
        <f>IF(B769="","","W"&amp;B769&amp;"-"&amp;TEXT(COUNTIF($B$5:B769,B769),"000"))</f>
        <v/>
      </c>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spans="1:31" ht="15" customHeight="1">
      <c r="A770" s="11" t="str">
        <f>IF(B770="","","W"&amp;B770&amp;"-"&amp;TEXT(COUNTIF($B$5:B770,B770),"000"))</f>
        <v/>
      </c>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spans="1:31" ht="15" customHeight="1">
      <c r="A771" s="11" t="str">
        <f>IF(B771="","","W"&amp;B771&amp;"-"&amp;TEXT(COUNTIF($B$5:B771,B771),"000"))</f>
        <v/>
      </c>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spans="1:31" ht="15" customHeight="1">
      <c r="A772" s="11" t="str">
        <f>IF(B772="","","W"&amp;B772&amp;"-"&amp;TEXT(COUNTIF($B$5:B772,B772),"000"))</f>
        <v/>
      </c>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spans="1:31" ht="15" customHeight="1">
      <c r="A773" s="11" t="str">
        <f>IF(B773="","","W"&amp;B773&amp;"-"&amp;TEXT(COUNTIF($B$5:B773,B773),"000"))</f>
        <v/>
      </c>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spans="1:31" ht="15" customHeight="1">
      <c r="A774" s="11" t="str">
        <f>IF(B774="","","W"&amp;B774&amp;"-"&amp;TEXT(COUNTIF($B$5:B774,B774),"000"))</f>
        <v/>
      </c>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spans="1:31" ht="15" customHeight="1">
      <c r="A775" s="11" t="str">
        <f>IF(B775="","","W"&amp;B775&amp;"-"&amp;TEXT(COUNTIF($B$5:B775,B775),"000"))</f>
        <v/>
      </c>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spans="1:31" ht="15" customHeight="1">
      <c r="A776" s="11" t="str">
        <f>IF(B776="","","W"&amp;B776&amp;"-"&amp;TEXT(COUNTIF($B$5:B776,B776),"000"))</f>
        <v/>
      </c>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spans="1:31" ht="15" customHeight="1">
      <c r="A777" s="11" t="str">
        <f>IF(B777="","","W"&amp;B777&amp;"-"&amp;TEXT(COUNTIF($B$5:B777,B777),"000"))</f>
        <v/>
      </c>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spans="1:31" ht="15" customHeight="1">
      <c r="A778" s="11" t="str">
        <f>IF(B778="","","W"&amp;B778&amp;"-"&amp;TEXT(COUNTIF($B$5:B778,B778),"000"))</f>
        <v/>
      </c>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spans="1:31" ht="15" customHeight="1">
      <c r="A779" s="11" t="str">
        <f>IF(B779="","","W"&amp;B779&amp;"-"&amp;TEXT(COUNTIF($B$5:B779,B779),"000"))</f>
        <v/>
      </c>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spans="1:31" ht="15" customHeight="1">
      <c r="A780" s="11" t="str">
        <f>IF(B780="","","W"&amp;B780&amp;"-"&amp;TEXT(COUNTIF($B$5:B780,B780),"000"))</f>
        <v/>
      </c>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spans="1:31" ht="15" customHeight="1">
      <c r="A781" s="11" t="str">
        <f>IF(B781="","","W"&amp;B781&amp;"-"&amp;TEXT(COUNTIF($B$5:B781,B781),"000"))</f>
        <v/>
      </c>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spans="1:31" ht="15" customHeight="1">
      <c r="A782" s="11" t="str">
        <f>IF(B782="","","W"&amp;B782&amp;"-"&amp;TEXT(COUNTIF($B$5:B782,B782),"000"))</f>
        <v/>
      </c>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spans="1:31" ht="15" customHeight="1">
      <c r="A783" s="11" t="str">
        <f>IF(B783="","","W"&amp;B783&amp;"-"&amp;TEXT(COUNTIF($B$5:B783,B783),"000"))</f>
        <v/>
      </c>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spans="1:31" ht="15" customHeight="1">
      <c r="A784" s="11" t="str">
        <f>IF(B784="","","W"&amp;B784&amp;"-"&amp;TEXT(COUNTIF($B$5:B784,B784),"000"))</f>
        <v/>
      </c>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spans="1:31" ht="15" customHeight="1">
      <c r="A785" s="11" t="str">
        <f>IF(B785="","","W"&amp;B785&amp;"-"&amp;TEXT(COUNTIF($B$5:B785,B785),"000"))</f>
        <v/>
      </c>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spans="1:31" ht="15" customHeight="1">
      <c r="A786" s="11" t="str">
        <f>IF(B786="","","W"&amp;B786&amp;"-"&amp;TEXT(COUNTIF($B$5:B786,B786),"000"))</f>
        <v/>
      </c>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spans="1:31" ht="15" customHeight="1">
      <c r="A787" s="11" t="str">
        <f>IF(B787="","","W"&amp;B787&amp;"-"&amp;TEXT(COUNTIF($B$5:B787,B787),"000"))</f>
        <v/>
      </c>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spans="1:31" ht="15" customHeight="1">
      <c r="A788" s="11" t="str">
        <f>IF(B788="","","W"&amp;B788&amp;"-"&amp;TEXT(COUNTIF($B$5:B788,B788),"000"))</f>
        <v/>
      </c>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spans="1:31" ht="15" customHeight="1">
      <c r="A789" s="11" t="str">
        <f>IF(B789="","","W"&amp;B789&amp;"-"&amp;TEXT(COUNTIF($B$5:B789,B789),"000"))</f>
        <v/>
      </c>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spans="1:31" ht="15" customHeight="1">
      <c r="A790" s="11" t="str">
        <f>IF(B790="","","W"&amp;B790&amp;"-"&amp;TEXT(COUNTIF($B$5:B790,B790),"000"))</f>
        <v/>
      </c>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spans="1:31" ht="15" customHeight="1">
      <c r="A791" s="11" t="str">
        <f>IF(B791="","","W"&amp;B791&amp;"-"&amp;TEXT(COUNTIF($B$5:B791,B791),"000"))</f>
        <v/>
      </c>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spans="1:31" ht="15" customHeight="1">
      <c r="A792" s="11" t="str">
        <f>IF(B792="","","W"&amp;B792&amp;"-"&amp;TEXT(COUNTIF($B$5:B792,B792),"000"))</f>
        <v/>
      </c>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spans="1:31" ht="15" customHeight="1">
      <c r="A793" s="11" t="str">
        <f>IF(B793="","","W"&amp;B793&amp;"-"&amp;TEXT(COUNTIF($B$5:B793,B793),"000"))</f>
        <v/>
      </c>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spans="1:31" ht="15" customHeight="1">
      <c r="A794" s="11" t="str">
        <f>IF(B794="","","W"&amp;B794&amp;"-"&amp;TEXT(COUNTIF($B$5:B794,B794),"000"))</f>
        <v/>
      </c>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spans="1:31" ht="15" customHeight="1">
      <c r="A795" s="11" t="str">
        <f>IF(B795="","","W"&amp;B795&amp;"-"&amp;TEXT(COUNTIF($B$5:B795,B795),"000"))</f>
        <v/>
      </c>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spans="1:31" ht="15" customHeight="1">
      <c r="A796" s="11" t="str">
        <f>IF(B796="","","W"&amp;B796&amp;"-"&amp;TEXT(COUNTIF($B$5:B796,B796),"000"))</f>
        <v/>
      </c>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spans="1:31" ht="15" customHeight="1">
      <c r="A797" s="11" t="str">
        <f>IF(B797="","","W"&amp;B797&amp;"-"&amp;TEXT(COUNTIF($B$5:B797,B797),"000"))</f>
        <v/>
      </c>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spans="1:31" ht="15" customHeight="1">
      <c r="A798" s="11" t="str">
        <f>IF(B798="","","W"&amp;B798&amp;"-"&amp;TEXT(COUNTIF($B$5:B798,B798),"000"))</f>
        <v/>
      </c>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spans="1:31" ht="15" customHeight="1">
      <c r="A799" s="11" t="str">
        <f>IF(B799="","","W"&amp;B799&amp;"-"&amp;TEXT(COUNTIF($B$5:B799,B799),"000"))</f>
        <v/>
      </c>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spans="1:31" ht="15" customHeight="1">
      <c r="A800" s="11" t="str">
        <f>IF(B800="","","W"&amp;B800&amp;"-"&amp;TEXT(COUNTIF($B$5:B800,B800),"000"))</f>
        <v/>
      </c>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spans="1:31" ht="15" customHeight="1">
      <c r="A801" s="11" t="str">
        <f>IF(B801="","","W"&amp;B801&amp;"-"&amp;TEXT(COUNTIF($B$5:B801,B801),"000"))</f>
        <v/>
      </c>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spans="1:31" ht="15" customHeight="1">
      <c r="A802" s="11" t="str">
        <f>IF(B802="","","W"&amp;B802&amp;"-"&amp;TEXT(COUNTIF($B$5:B802,B802),"000"))</f>
        <v/>
      </c>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spans="1:31" ht="15" customHeight="1">
      <c r="A803" s="11" t="str">
        <f>IF(B803="","","W"&amp;B803&amp;"-"&amp;TEXT(COUNTIF($B$5:B803,B803),"000"))</f>
        <v/>
      </c>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spans="1:31" ht="15" customHeight="1">
      <c r="A804" s="11" t="str">
        <f>IF(B804="","","W"&amp;B804&amp;"-"&amp;TEXT(COUNTIF($B$5:B804,B804),"000"))</f>
        <v/>
      </c>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spans="1:31" ht="15" customHeight="1">
      <c r="A805" s="11" t="str">
        <f>IF(B805="","","W"&amp;B805&amp;"-"&amp;TEXT(COUNTIF($B$5:B805,B805),"000"))</f>
        <v/>
      </c>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spans="1:31" ht="15" customHeight="1">
      <c r="A806" s="11" t="str">
        <f>IF(B806="","","W"&amp;B806&amp;"-"&amp;TEXT(COUNTIF($B$5:B806,B806),"000"))</f>
        <v/>
      </c>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spans="1:31" ht="15" customHeight="1">
      <c r="A807" s="11" t="str">
        <f>IF(B807="","","W"&amp;B807&amp;"-"&amp;TEXT(COUNTIF($B$5:B807,B807),"000"))</f>
        <v/>
      </c>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spans="1:31" ht="15" customHeight="1">
      <c r="A808" s="11" t="str">
        <f>IF(B808="","","W"&amp;B808&amp;"-"&amp;TEXT(COUNTIF($B$5:B808,B808),"000"))</f>
        <v/>
      </c>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spans="1:31" ht="15" customHeight="1">
      <c r="A809" s="11" t="str">
        <f>IF(B809="","","W"&amp;B809&amp;"-"&amp;TEXT(COUNTIF($B$5:B809,B809),"000"))</f>
        <v/>
      </c>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spans="1:31" ht="15" customHeight="1">
      <c r="A810" s="11" t="str">
        <f>IF(B810="","","W"&amp;B810&amp;"-"&amp;TEXT(COUNTIF($B$5:B810,B810),"000"))</f>
        <v/>
      </c>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spans="1:31" ht="15" customHeight="1">
      <c r="A811" s="11" t="str">
        <f>IF(B811="","","W"&amp;B811&amp;"-"&amp;TEXT(COUNTIF($B$5:B811,B811),"000"))</f>
        <v/>
      </c>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spans="1:31" ht="15" customHeight="1">
      <c r="A812" s="11" t="str">
        <f>IF(B812="","","W"&amp;B812&amp;"-"&amp;TEXT(COUNTIF($B$5:B812,B812),"000"))</f>
        <v/>
      </c>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spans="1:31" ht="15" customHeight="1">
      <c r="A813" s="11" t="str">
        <f>IF(B813="","","W"&amp;B813&amp;"-"&amp;TEXT(COUNTIF($B$5:B813,B813),"000"))</f>
        <v/>
      </c>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spans="1:31" ht="15" customHeight="1">
      <c r="A814" s="11" t="str">
        <f>IF(B814="","","W"&amp;B814&amp;"-"&amp;TEXT(COUNTIF($B$5:B814,B814),"000"))</f>
        <v/>
      </c>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spans="1:31" ht="15" customHeight="1">
      <c r="A815" s="11" t="str">
        <f>IF(B815="","","W"&amp;B815&amp;"-"&amp;TEXT(COUNTIF($B$5:B815,B815),"000"))</f>
        <v/>
      </c>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spans="1:31" ht="15" customHeight="1">
      <c r="A816" s="11" t="str">
        <f>IF(B816="","","W"&amp;B816&amp;"-"&amp;TEXT(COUNTIF($B$5:B816,B816),"000"))</f>
        <v/>
      </c>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spans="1:31" ht="15" customHeight="1">
      <c r="A817" s="11" t="str">
        <f>IF(B817="","","W"&amp;B817&amp;"-"&amp;TEXT(COUNTIF($B$5:B817,B817),"000"))</f>
        <v/>
      </c>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spans="1:31" ht="15" customHeight="1">
      <c r="A818" s="11" t="str">
        <f>IF(B818="","","W"&amp;B818&amp;"-"&amp;TEXT(COUNTIF($B$5:B818,B818),"000"))</f>
        <v/>
      </c>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spans="1:31" ht="15" customHeight="1">
      <c r="A819" s="11" t="str">
        <f>IF(B819="","","W"&amp;B819&amp;"-"&amp;TEXT(COUNTIF($B$5:B819,B819),"000"))</f>
        <v/>
      </c>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spans="1:31" ht="15" customHeight="1">
      <c r="A820" s="11" t="str">
        <f>IF(B820="","","W"&amp;B820&amp;"-"&amp;TEXT(COUNTIF($B$5:B820,B820),"000"))</f>
        <v/>
      </c>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spans="1:31" ht="15" customHeight="1">
      <c r="A821" s="11" t="str">
        <f>IF(B821="","","W"&amp;B821&amp;"-"&amp;TEXT(COUNTIF($B$5:B821,B821),"000"))</f>
        <v/>
      </c>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spans="1:31" ht="15" customHeight="1">
      <c r="A822" s="11" t="str">
        <f>IF(B822="","","W"&amp;B822&amp;"-"&amp;TEXT(COUNTIF($B$5:B822,B822),"000"))</f>
        <v/>
      </c>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spans="1:31" ht="15" customHeight="1">
      <c r="A823" s="11" t="str">
        <f>IF(B823="","","W"&amp;B823&amp;"-"&amp;TEXT(COUNTIF($B$5:B823,B823),"000"))</f>
        <v/>
      </c>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spans="1:31" ht="15" customHeight="1">
      <c r="A824" s="11" t="str">
        <f>IF(B824="","","W"&amp;B824&amp;"-"&amp;TEXT(COUNTIF($B$5:B824,B824),"000"))</f>
        <v/>
      </c>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spans="1:31" ht="15" customHeight="1">
      <c r="A825" s="11" t="str">
        <f>IF(B825="","","W"&amp;B825&amp;"-"&amp;TEXT(COUNTIF($B$5:B825,B825),"000"))</f>
        <v/>
      </c>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spans="1:31" ht="15" customHeight="1">
      <c r="A826" s="11" t="str">
        <f>IF(B826="","","W"&amp;B826&amp;"-"&amp;TEXT(COUNTIF($B$5:B826,B826),"000"))</f>
        <v/>
      </c>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spans="1:31" ht="15" customHeight="1">
      <c r="A827" s="11" t="str">
        <f>IF(B827="","","W"&amp;B827&amp;"-"&amp;TEXT(COUNTIF($B$5:B827,B827),"000"))</f>
        <v/>
      </c>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spans="1:31" ht="15" customHeight="1">
      <c r="A828" s="11" t="str">
        <f>IF(B828="","","W"&amp;B828&amp;"-"&amp;TEXT(COUNTIF($B$5:B828,B828),"000"))</f>
        <v/>
      </c>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spans="1:31" ht="15" customHeight="1">
      <c r="A829" s="11" t="str">
        <f>IF(B829="","","W"&amp;B829&amp;"-"&amp;TEXT(COUNTIF($B$5:B829,B829),"000"))</f>
        <v/>
      </c>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spans="1:31" ht="15" customHeight="1">
      <c r="A830" s="11" t="str">
        <f>IF(B830="","","W"&amp;B830&amp;"-"&amp;TEXT(COUNTIF($B$5:B830,B830),"000"))</f>
        <v/>
      </c>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spans="1:31" ht="15" customHeight="1">
      <c r="A831" s="11" t="str">
        <f>IF(B831="","","W"&amp;B831&amp;"-"&amp;TEXT(COUNTIF($B$5:B831,B831),"000"))</f>
        <v/>
      </c>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spans="1:31" ht="15" customHeight="1">
      <c r="A832" s="11" t="str">
        <f>IF(B832="","","W"&amp;B832&amp;"-"&amp;TEXT(COUNTIF($B$5:B832,B832),"000"))</f>
        <v/>
      </c>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spans="1:31" ht="15" customHeight="1">
      <c r="A833" s="11" t="str">
        <f>IF(B833="","","W"&amp;B833&amp;"-"&amp;TEXT(COUNTIF($B$5:B833,B833),"000"))</f>
        <v/>
      </c>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spans="1:31" ht="15" customHeight="1">
      <c r="A834" s="11" t="str">
        <f>IF(B834="","","W"&amp;B834&amp;"-"&amp;TEXT(COUNTIF($B$5:B834,B834),"000"))</f>
        <v/>
      </c>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spans="1:31" ht="15" customHeight="1">
      <c r="A835" s="11" t="str">
        <f>IF(B835="","","W"&amp;B835&amp;"-"&amp;TEXT(COUNTIF($B$5:B835,B835),"000"))</f>
        <v/>
      </c>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spans="1:31" ht="15" customHeight="1">
      <c r="A836" s="11" t="str">
        <f>IF(B836="","","W"&amp;B836&amp;"-"&amp;TEXT(COUNTIF($B$5:B836,B836),"000"))</f>
        <v/>
      </c>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spans="1:31" ht="15" customHeight="1">
      <c r="A837" s="11" t="str">
        <f>IF(B837="","","W"&amp;B837&amp;"-"&amp;TEXT(COUNTIF($B$5:B837,B837),"000"))</f>
        <v/>
      </c>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spans="1:31" ht="15" customHeight="1">
      <c r="A838" s="11" t="str">
        <f>IF(B838="","","W"&amp;B838&amp;"-"&amp;TEXT(COUNTIF($B$5:B838,B838),"000"))</f>
        <v/>
      </c>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spans="1:31" ht="15" customHeight="1">
      <c r="A839" s="11" t="str">
        <f>IF(B839="","","W"&amp;B839&amp;"-"&amp;TEXT(COUNTIF($B$5:B839,B839),"000"))</f>
        <v/>
      </c>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spans="1:31" ht="15" customHeight="1">
      <c r="A840" s="11" t="str">
        <f>IF(B840="","","W"&amp;B840&amp;"-"&amp;TEXT(COUNTIF($B$5:B840,B840),"000"))</f>
        <v/>
      </c>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spans="1:31" ht="15" customHeight="1">
      <c r="A841" s="11" t="str">
        <f>IF(B841="","","W"&amp;B841&amp;"-"&amp;TEXT(COUNTIF($B$5:B841,B841),"000"))</f>
        <v/>
      </c>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spans="1:31" ht="15" customHeight="1">
      <c r="A842" s="11" t="str">
        <f>IF(B842="","","W"&amp;B842&amp;"-"&amp;TEXT(COUNTIF($B$5:B842,B842),"000"))</f>
        <v/>
      </c>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spans="1:31" ht="15" customHeight="1">
      <c r="A843" s="11" t="str">
        <f>IF(B843="","","W"&amp;B843&amp;"-"&amp;TEXT(COUNTIF($B$5:B843,B843),"000"))</f>
        <v/>
      </c>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spans="1:31" ht="15" customHeight="1">
      <c r="A844" s="11" t="str">
        <f>IF(B844="","","W"&amp;B844&amp;"-"&amp;TEXT(COUNTIF($B$5:B844,B844),"000"))</f>
        <v/>
      </c>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spans="1:31" ht="15" customHeight="1">
      <c r="A845" s="11" t="str">
        <f>IF(B845="","","W"&amp;B845&amp;"-"&amp;TEXT(COUNTIF($B$5:B845,B845),"000"))</f>
        <v/>
      </c>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spans="1:31" ht="15" customHeight="1">
      <c r="A846" s="11" t="str">
        <f>IF(B846="","","W"&amp;B846&amp;"-"&amp;TEXT(COUNTIF($B$5:B846,B846),"000"))</f>
        <v/>
      </c>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spans="1:31" ht="15" customHeight="1">
      <c r="A847" s="11" t="str">
        <f>IF(B847="","","W"&amp;B847&amp;"-"&amp;TEXT(COUNTIF($B$5:B847,B847),"000"))</f>
        <v/>
      </c>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spans="1:31" ht="15" customHeight="1">
      <c r="A848" s="11" t="str">
        <f>IF(B848="","","W"&amp;B848&amp;"-"&amp;TEXT(COUNTIF($B$5:B848,B848),"000"))</f>
        <v/>
      </c>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spans="1:31" ht="15" customHeight="1">
      <c r="A849" s="11" t="str">
        <f>IF(B849="","","W"&amp;B849&amp;"-"&amp;TEXT(COUNTIF($B$5:B849,B849),"000"))</f>
        <v/>
      </c>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spans="1:31" ht="15" customHeight="1">
      <c r="A850" s="11" t="str">
        <f>IF(B850="","","W"&amp;B850&amp;"-"&amp;TEXT(COUNTIF($B$5:B850,B850),"000"))</f>
        <v/>
      </c>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spans="1:31" ht="15" customHeight="1">
      <c r="A851" s="11" t="str">
        <f>IF(B851="","","W"&amp;B851&amp;"-"&amp;TEXT(COUNTIF($B$5:B851,B851),"000"))</f>
        <v/>
      </c>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spans="1:31" ht="15" customHeight="1">
      <c r="A852" s="11" t="str">
        <f>IF(B852="","","W"&amp;B852&amp;"-"&amp;TEXT(COUNTIF($B$5:B852,B852),"000"))</f>
        <v/>
      </c>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spans="1:31" ht="15" customHeight="1">
      <c r="A853" s="11" t="str">
        <f>IF(B853="","","W"&amp;B853&amp;"-"&amp;TEXT(COUNTIF($B$5:B853,B853),"000"))</f>
        <v/>
      </c>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spans="1:31" ht="15" customHeight="1">
      <c r="A854" s="11" t="str">
        <f>IF(B854="","","W"&amp;B854&amp;"-"&amp;TEXT(COUNTIF($B$5:B854,B854),"000"))</f>
        <v/>
      </c>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spans="1:31" ht="15" customHeight="1">
      <c r="A855" s="11" t="str">
        <f>IF(B855="","","W"&amp;B855&amp;"-"&amp;TEXT(COUNTIF($B$5:B855,B855),"000"))</f>
        <v/>
      </c>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spans="1:31" ht="15" customHeight="1">
      <c r="A856" s="11" t="str">
        <f>IF(B856="","","W"&amp;B856&amp;"-"&amp;TEXT(COUNTIF($B$5:B856,B856),"000"))</f>
        <v/>
      </c>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spans="1:31" ht="15" customHeight="1">
      <c r="A857" s="11" t="str">
        <f>IF(B857="","","W"&amp;B857&amp;"-"&amp;TEXT(COUNTIF($B$5:B857,B857),"000"))</f>
        <v/>
      </c>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spans="1:31" ht="15" customHeight="1">
      <c r="A858" s="11" t="str">
        <f>IF(B858="","","W"&amp;B858&amp;"-"&amp;TEXT(COUNTIF($B$5:B858,B858),"000"))</f>
        <v/>
      </c>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spans="1:31" ht="15" customHeight="1">
      <c r="A859" s="11" t="str">
        <f>IF(B859="","","W"&amp;B859&amp;"-"&amp;TEXT(COUNTIF($B$5:B859,B859),"000"))</f>
        <v/>
      </c>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spans="1:31" ht="15" customHeight="1">
      <c r="A860" s="11" t="str">
        <f>IF(B860="","","W"&amp;B860&amp;"-"&amp;TEXT(COUNTIF($B$5:B860,B860),"000"))</f>
        <v/>
      </c>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spans="1:31" ht="15" customHeight="1">
      <c r="A861" s="11" t="str">
        <f>IF(B861="","","W"&amp;B861&amp;"-"&amp;TEXT(COUNTIF($B$5:B861,B861),"000"))</f>
        <v/>
      </c>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row>
    <row r="862" spans="1:31" ht="15" customHeight="1">
      <c r="A862" s="11" t="str">
        <f>IF(B862="","","W"&amp;B862&amp;"-"&amp;TEXT(COUNTIF($B$5:B862,B862),"000"))</f>
        <v/>
      </c>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row>
    <row r="863" spans="1:31" ht="15" customHeight="1">
      <c r="A863" s="11" t="str">
        <f>IF(B863="","","W"&amp;B863&amp;"-"&amp;TEXT(COUNTIF($B$5:B863,B863),"000"))</f>
        <v/>
      </c>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row>
    <row r="864" spans="1:31" ht="15" customHeight="1">
      <c r="A864" s="11" t="str">
        <f>IF(B864="","","W"&amp;B864&amp;"-"&amp;TEXT(COUNTIF($B$5:B864,B864),"000"))</f>
        <v/>
      </c>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row>
    <row r="865" spans="1:31" ht="15" customHeight="1">
      <c r="A865" s="11" t="str">
        <f>IF(B865="","","W"&amp;B865&amp;"-"&amp;TEXT(COUNTIF($B$5:B865,B865),"000"))</f>
        <v/>
      </c>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row>
    <row r="866" spans="1:31" ht="15" customHeight="1">
      <c r="A866" s="11" t="str">
        <f>IF(B866="","","W"&amp;B866&amp;"-"&amp;TEXT(COUNTIF($B$5:B866,B866),"000"))</f>
        <v/>
      </c>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row>
    <row r="867" spans="1:31" ht="15" customHeight="1">
      <c r="A867" s="11" t="str">
        <f>IF(B867="","","W"&amp;B867&amp;"-"&amp;TEXT(COUNTIF($B$5:B867,B867),"000"))</f>
        <v/>
      </c>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row>
    <row r="868" spans="1:31" ht="15" customHeight="1">
      <c r="A868" s="11" t="str">
        <f>IF(B868="","","W"&amp;B868&amp;"-"&amp;TEXT(COUNTIF($B$5:B868,B868),"000"))</f>
        <v/>
      </c>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row>
    <row r="869" spans="1:31" ht="15" customHeight="1">
      <c r="A869" s="11" t="str">
        <f>IF(B869="","","W"&amp;B869&amp;"-"&amp;TEXT(COUNTIF($B$5:B869,B869),"000"))</f>
        <v/>
      </c>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row>
    <row r="870" spans="1:31" ht="15" customHeight="1">
      <c r="A870" s="11" t="str">
        <f>IF(B870="","","W"&amp;B870&amp;"-"&amp;TEXT(COUNTIF($B$5:B870,B870),"000"))</f>
        <v/>
      </c>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row>
    <row r="871" spans="1:31" ht="15" customHeight="1">
      <c r="A871" s="11" t="str">
        <f>IF(B871="","","W"&amp;B871&amp;"-"&amp;TEXT(COUNTIF($B$5:B871,B871),"000"))</f>
        <v/>
      </c>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row>
    <row r="872" spans="1:31" ht="15" customHeight="1">
      <c r="A872" s="11" t="str">
        <f>IF(B872="","","W"&amp;B872&amp;"-"&amp;TEXT(COUNTIF($B$5:B872,B872),"000"))</f>
        <v/>
      </c>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row>
    <row r="873" spans="1:31" ht="15" customHeight="1">
      <c r="A873" s="11" t="str">
        <f>IF(B873="","","W"&amp;B873&amp;"-"&amp;TEXT(COUNTIF($B$5:B873,B873),"000"))</f>
        <v/>
      </c>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row>
    <row r="874" spans="1:31" ht="15" customHeight="1">
      <c r="A874" s="11" t="str">
        <f>IF(B874="","","W"&amp;B874&amp;"-"&amp;TEXT(COUNTIF($B$5:B874,B874),"000"))</f>
        <v/>
      </c>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row>
    <row r="875" spans="1:31" ht="15" customHeight="1">
      <c r="A875" s="11" t="str">
        <f>IF(B875="","","W"&amp;B875&amp;"-"&amp;TEXT(COUNTIF($B$5:B875,B875),"000"))</f>
        <v/>
      </c>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row>
    <row r="876" spans="1:31" ht="15" customHeight="1">
      <c r="A876" s="11" t="str">
        <f>IF(B876="","","W"&amp;B876&amp;"-"&amp;TEXT(COUNTIF($B$5:B876,B876),"000"))</f>
        <v/>
      </c>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row>
    <row r="877" spans="1:31" ht="15" customHeight="1">
      <c r="A877" s="11" t="str">
        <f>IF(B877="","","W"&amp;B877&amp;"-"&amp;TEXT(COUNTIF($B$5:B877,B877),"000"))</f>
        <v/>
      </c>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row>
    <row r="878" spans="1:31" ht="15" customHeight="1">
      <c r="A878" s="11" t="str">
        <f>IF(B878="","","W"&amp;B878&amp;"-"&amp;TEXT(COUNTIF($B$5:B878,B878),"000"))</f>
        <v/>
      </c>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row>
    <row r="879" spans="1:31" ht="15" customHeight="1">
      <c r="A879" s="11" t="str">
        <f>IF(B879="","","W"&amp;B879&amp;"-"&amp;TEXT(COUNTIF($B$5:B879,B879),"000"))</f>
        <v/>
      </c>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row>
    <row r="880" spans="1:31" ht="15" customHeight="1">
      <c r="A880" s="11" t="str">
        <f>IF(B880="","","W"&amp;B880&amp;"-"&amp;TEXT(COUNTIF($B$5:B880,B880),"000"))</f>
        <v/>
      </c>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row>
    <row r="881" spans="1:31" ht="15" customHeight="1">
      <c r="A881" s="11" t="str">
        <f>IF(B881="","","W"&amp;B881&amp;"-"&amp;TEXT(COUNTIF($B$5:B881,B881),"000"))</f>
        <v/>
      </c>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row>
    <row r="882" spans="1:31" ht="15" customHeight="1">
      <c r="A882" s="11" t="str">
        <f>IF(B882="","","W"&amp;B882&amp;"-"&amp;TEXT(COUNTIF($B$5:B882,B882),"000"))</f>
        <v/>
      </c>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row>
    <row r="883" spans="1:31" ht="15" customHeight="1">
      <c r="A883" s="11" t="str">
        <f>IF(B883="","","W"&amp;B883&amp;"-"&amp;TEXT(COUNTIF($B$5:B883,B883),"000"))</f>
        <v/>
      </c>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row>
    <row r="884" spans="1:31" ht="15" customHeight="1">
      <c r="A884" s="11" t="str">
        <f>IF(B884="","","W"&amp;B884&amp;"-"&amp;TEXT(COUNTIF($B$5:B884,B884),"000"))</f>
        <v/>
      </c>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row>
    <row r="885" spans="1:31" ht="15" customHeight="1">
      <c r="A885" s="11" t="str">
        <f>IF(B885="","","W"&amp;B885&amp;"-"&amp;TEXT(COUNTIF($B$5:B885,B885),"000"))</f>
        <v/>
      </c>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row>
    <row r="886" spans="1:31" ht="15" customHeight="1">
      <c r="A886" s="11" t="str">
        <f>IF(B886="","","W"&amp;B886&amp;"-"&amp;TEXT(COUNTIF($B$5:B886,B886),"000"))</f>
        <v/>
      </c>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row>
    <row r="887" spans="1:31" ht="15" customHeight="1">
      <c r="A887" s="11" t="str">
        <f>IF(B887="","","W"&amp;B887&amp;"-"&amp;TEXT(COUNTIF($B$5:B887,B887),"000"))</f>
        <v/>
      </c>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row>
    <row r="888" spans="1:31" ht="15" customHeight="1">
      <c r="A888" s="11" t="str">
        <f>IF(B888="","","W"&amp;B888&amp;"-"&amp;TEXT(COUNTIF($B$5:B888,B888),"000"))</f>
        <v/>
      </c>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row>
    <row r="889" spans="1:31" ht="15" customHeight="1">
      <c r="A889" s="11" t="str">
        <f>IF(B889="","","W"&amp;B889&amp;"-"&amp;TEXT(COUNTIF($B$5:B889,B889),"000"))</f>
        <v/>
      </c>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row>
    <row r="890" spans="1:31" ht="15" customHeight="1">
      <c r="A890" s="11" t="str">
        <f>IF(B890="","","W"&amp;B890&amp;"-"&amp;TEXT(COUNTIF($B$5:B890,B890),"000"))</f>
        <v/>
      </c>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row>
    <row r="891" spans="1:31" ht="15" customHeight="1">
      <c r="A891" s="11" t="str">
        <f>IF(B891="","","W"&amp;B891&amp;"-"&amp;TEXT(COUNTIF($B$5:B891,B891),"000"))</f>
        <v/>
      </c>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row>
    <row r="892" spans="1:31" ht="15" customHeight="1">
      <c r="A892" s="11" t="str">
        <f>IF(B892="","","W"&amp;B892&amp;"-"&amp;TEXT(COUNTIF($B$5:B892,B892),"000"))</f>
        <v/>
      </c>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row>
    <row r="893" spans="1:31" ht="15" customHeight="1">
      <c r="A893" s="11" t="str">
        <f>IF(B893="","","W"&amp;B893&amp;"-"&amp;TEXT(COUNTIF($B$5:B893,B893),"000"))</f>
        <v/>
      </c>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row>
    <row r="894" spans="1:31" ht="15" customHeight="1">
      <c r="A894" s="11" t="str">
        <f>IF(B894="","","W"&amp;B894&amp;"-"&amp;TEXT(COUNTIF($B$5:B894,B894),"000"))</f>
        <v/>
      </c>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row>
    <row r="895" spans="1:31" ht="15" customHeight="1">
      <c r="A895" s="11" t="str">
        <f>IF(B895="","","W"&amp;B895&amp;"-"&amp;TEXT(COUNTIF($B$5:B895,B895),"000"))</f>
        <v/>
      </c>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row>
    <row r="896" spans="1:31" ht="15" customHeight="1">
      <c r="A896" s="11" t="str">
        <f>IF(B896="","","W"&amp;B896&amp;"-"&amp;TEXT(COUNTIF($B$5:B896,B896),"000"))</f>
        <v/>
      </c>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row>
    <row r="897" spans="1:31" ht="15" customHeight="1">
      <c r="A897" s="11" t="str">
        <f>IF(B897="","","W"&amp;B897&amp;"-"&amp;TEXT(COUNTIF($B$5:B897,B897),"000"))</f>
        <v/>
      </c>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row>
    <row r="898" spans="1:31" ht="15" customHeight="1">
      <c r="A898" s="11" t="str">
        <f>IF(B898="","","W"&amp;B898&amp;"-"&amp;TEXT(COUNTIF($B$5:B898,B898),"000"))</f>
        <v/>
      </c>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row>
    <row r="899" spans="1:31" ht="15" customHeight="1">
      <c r="A899" s="11" t="str">
        <f>IF(B899="","","W"&amp;B899&amp;"-"&amp;TEXT(COUNTIF($B$5:B899,B899),"000"))</f>
        <v/>
      </c>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row>
    <row r="900" spans="1:31" ht="15" customHeight="1">
      <c r="A900" s="11" t="str">
        <f>IF(B900="","","W"&amp;B900&amp;"-"&amp;TEXT(COUNTIF($B$5:B900,B900),"000"))</f>
        <v/>
      </c>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row>
    <row r="901" spans="1:31" ht="15" customHeight="1">
      <c r="A901" s="11" t="str">
        <f>IF(B901="","","W"&amp;B901&amp;"-"&amp;TEXT(COUNTIF($B$5:B901,B901),"000"))</f>
        <v/>
      </c>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row>
    <row r="902" spans="1:31" ht="15" customHeight="1">
      <c r="A902" s="11" t="str">
        <f>IF(B902="","","W"&amp;B902&amp;"-"&amp;TEXT(COUNTIF($B$5:B902,B902),"000"))</f>
        <v/>
      </c>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row>
    <row r="903" spans="1:31" ht="15" customHeight="1">
      <c r="A903" s="11" t="str">
        <f>IF(B903="","","W"&amp;B903&amp;"-"&amp;TEXT(COUNTIF($B$5:B903,B903),"000"))</f>
        <v/>
      </c>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row>
    <row r="904" spans="1:31" ht="15" customHeight="1">
      <c r="A904" s="11" t="str">
        <f>IF(B904="","","W"&amp;B904&amp;"-"&amp;TEXT(COUNTIF($B$5:B904,B904),"000"))</f>
        <v/>
      </c>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row>
    <row r="905" spans="1:31" ht="15" customHeight="1">
      <c r="A905" s="11" t="str">
        <f>IF(B905="","","W"&amp;B905&amp;"-"&amp;TEXT(COUNTIF($B$5:B905,B905),"000"))</f>
        <v/>
      </c>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row>
    <row r="906" spans="1:31" ht="15" customHeight="1">
      <c r="A906" s="11" t="str">
        <f>IF(B906="","","W"&amp;B906&amp;"-"&amp;TEXT(COUNTIF($B$5:B906,B906),"000"))</f>
        <v/>
      </c>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row>
    <row r="907" spans="1:31" ht="15" customHeight="1">
      <c r="A907" s="11" t="str">
        <f>IF(B907="","","W"&amp;B907&amp;"-"&amp;TEXT(COUNTIF($B$5:B907,B907),"000"))</f>
        <v/>
      </c>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row>
    <row r="908" spans="1:31" ht="15" customHeight="1">
      <c r="A908" s="11" t="str">
        <f>IF(B908="","","W"&amp;B908&amp;"-"&amp;TEXT(COUNTIF($B$5:B908,B908),"000"))</f>
        <v/>
      </c>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row>
    <row r="909" spans="1:31" ht="15" customHeight="1">
      <c r="A909" s="11" t="str">
        <f>IF(B909="","","W"&amp;B909&amp;"-"&amp;TEXT(COUNTIF($B$5:B909,B909),"000"))</f>
        <v/>
      </c>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row>
    <row r="910" spans="1:31" ht="15" customHeight="1">
      <c r="A910" s="11" t="str">
        <f>IF(B910="","","W"&amp;B910&amp;"-"&amp;TEXT(COUNTIF($B$5:B910,B910),"000"))</f>
        <v/>
      </c>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row>
    <row r="911" spans="1:31" ht="15" customHeight="1">
      <c r="A911" s="11" t="str">
        <f>IF(B911="","","W"&amp;B911&amp;"-"&amp;TEXT(COUNTIF($B$5:B911,B911),"000"))</f>
        <v/>
      </c>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row>
    <row r="912" spans="1:31" ht="15" customHeight="1">
      <c r="A912" s="11" t="str">
        <f>IF(B912="","","W"&amp;B912&amp;"-"&amp;TEXT(COUNTIF($B$5:B912,B912),"000"))</f>
        <v/>
      </c>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row>
    <row r="913" spans="1:31" ht="15" customHeight="1">
      <c r="A913" s="11" t="str">
        <f>IF(B913="","","W"&amp;B913&amp;"-"&amp;TEXT(COUNTIF($B$5:B913,B913),"000"))</f>
        <v/>
      </c>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row>
    <row r="914" spans="1:31" ht="15" customHeight="1">
      <c r="A914" s="11" t="str">
        <f>IF(B914="","","W"&amp;B914&amp;"-"&amp;TEXT(COUNTIF($B$5:B914,B914),"000"))</f>
        <v/>
      </c>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row>
    <row r="915" spans="1:31" ht="15" customHeight="1">
      <c r="A915" s="11" t="str">
        <f>IF(B915="","","W"&amp;B915&amp;"-"&amp;TEXT(COUNTIF($B$5:B915,B915),"000"))</f>
        <v/>
      </c>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row>
    <row r="916" spans="1:31" ht="15" customHeight="1">
      <c r="A916" s="11" t="str">
        <f>IF(B916="","","W"&amp;B916&amp;"-"&amp;TEXT(COUNTIF($B$5:B916,B916),"000"))</f>
        <v/>
      </c>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row>
    <row r="917" spans="1:31" ht="15" customHeight="1">
      <c r="A917" s="11" t="str">
        <f>IF(B917="","","W"&amp;B917&amp;"-"&amp;TEXT(COUNTIF($B$5:B917,B917),"000"))</f>
        <v/>
      </c>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row>
    <row r="918" spans="1:31" ht="15" customHeight="1">
      <c r="A918" s="11" t="str">
        <f>IF(B918="","","W"&amp;B918&amp;"-"&amp;TEXT(COUNTIF($B$5:B918,B918),"000"))</f>
        <v/>
      </c>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row>
    <row r="919" spans="1:31" ht="15" customHeight="1">
      <c r="A919" s="11" t="str">
        <f>IF(B919="","","W"&amp;B919&amp;"-"&amp;TEXT(COUNTIF($B$5:B919,B919),"000"))</f>
        <v/>
      </c>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row>
    <row r="920" spans="1:31" ht="15" customHeight="1">
      <c r="A920" s="11" t="str">
        <f>IF(B920="","","W"&amp;B920&amp;"-"&amp;TEXT(COUNTIF($B$5:B920,B920),"000"))</f>
        <v/>
      </c>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row>
    <row r="921" spans="1:31" ht="15" customHeight="1">
      <c r="A921" s="11" t="str">
        <f>IF(B921="","","W"&amp;B921&amp;"-"&amp;TEXT(COUNTIF($B$5:B921,B921),"000"))</f>
        <v/>
      </c>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row>
    <row r="922" spans="1:31" ht="15" customHeight="1">
      <c r="A922" s="11" t="str">
        <f>IF(B922="","","W"&amp;B922&amp;"-"&amp;TEXT(COUNTIF($B$5:B922,B922),"000"))</f>
        <v/>
      </c>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row>
    <row r="923" spans="1:31" ht="15" customHeight="1">
      <c r="A923" s="11" t="str">
        <f>IF(B923="","","W"&amp;B923&amp;"-"&amp;TEXT(COUNTIF($B$5:B923,B923),"000"))</f>
        <v/>
      </c>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row>
    <row r="924" spans="1:31" ht="15" customHeight="1">
      <c r="A924" s="11" t="str">
        <f>IF(B924="","","W"&amp;B924&amp;"-"&amp;TEXT(COUNTIF($B$5:B924,B924),"000"))</f>
        <v/>
      </c>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row>
    <row r="925" spans="1:31" ht="15" customHeight="1">
      <c r="A925" s="11" t="str">
        <f>IF(B925="","","W"&amp;B925&amp;"-"&amp;TEXT(COUNTIF($B$5:B925,B925),"000"))</f>
        <v/>
      </c>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row>
    <row r="926" spans="1:31" ht="15" customHeight="1">
      <c r="A926" s="11" t="str">
        <f>IF(B926="","","W"&amp;B926&amp;"-"&amp;TEXT(COUNTIF($B$5:B926,B926),"000"))</f>
        <v/>
      </c>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row>
    <row r="927" spans="1:31" ht="15" customHeight="1">
      <c r="A927" s="11" t="str">
        <f>IF(B927="","","W"&amp;B927&amp;"-"&amp;TEXT(COUNTIF($B$5:B927,B927),"000"))</f>
        <v/>
      </c>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row>
    <row r="928" spans="1:31" ht="15" customHeight="1">
      <c r="A928" s="11" t="str">
        <f>IF(B928="","","W"&amp;B928&amp;"-"&amp;TEXT(COUNTIF($B$5:B928,B928),"000"))</f>
        <v/>
      </c>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row>
    <row r="929" spans="1:31" ht="15" customHeight="1">
      <c r="A929" s="11" t="str">
        <f>IF(B929="","","W"&amp;B929&amp;"-"&amp;TEXT(COUNTIF($B$5:B929,B929),"000"))</f>
        <v/>
      </c>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row>
    <row r="930" spans="1:31" ht="15" customHeight="1">
      <c r="A930" s="11" t="str">
        <f>IF(B930="","","W"&amp;B930&amp;"-"&amp;TEXT(COUNTIF($B$5:B930,B930),"000"))</f>
        <v/>
      </c>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row>
    <row r="931" spans="1:31" ht="15" customHeight="1">
      <c r="A931" s="11" t="str">
        <f>IF(B931="","","W"&amp;B931&amp;"-"&amp;TEXT(COUNTIF($B$5:B931,B931),"000"))</f>
        <v/>
      </c>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row>
    <row r="932" spans="1:31" ht="15" customHeight="1">
      <c r="A932" s="11" t="str">
        <f>IF(B932="","","W"&amp;B932&amp;"-"&amp;TEXT(COUNTIF($B$5:B932,B932),"000"))</f>
        <v/>
      </c>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row>
    <row r="933" spans="1:31" ht="15" customHeight="1">
      <c r="A933" s="11" t="str">
        <f>IF(B933="","","W"&amp;B933&amp;"-"&amp;TEXT(COUNTIF($B$5:B933,B933),"000"))</f>
        <v/>
      </c>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row>
    <row r="934" spans="1:31" ht="15" customHeight="1">
      <c r="A934" s="11" t="str">
        <f>IF(B934="","","W"&amp;B934&amp;"-"&amp;TEXT(COUNTIF($B$5:B934,B934),"000"))</f>
        <v/>
      </c>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row>
    <row r="935" spans="1:31" ht="15" customHeight="1">
      <c r="A935" s="11" t="str">
        <f>IF(B935="","","W"&amp;B935&amp;"-"&amp;TEXT(COUNTIF($B$5:B935,B935),"000"))</f>
        <v/>
      </c>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row>
    <row r="936" spans="1:31" ht="15" customHeight="1">
      <c r="A936" s="11" t="str">
        <f>IF(B936="","","W"&amp;B936&amp;"-"&amp;TEXT(COUNTIF($B$5:B936,B936),"000"))</f>
        <v/>
      </c>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row>
    <row r="937" spans="1:31" ht="15" customHeight="1">
      <c r="A937" s="11" t="str">
        <f>IF(B937="","","W"&amp;B937&amp;"-"&amp;TEXT(COUNTIF($B$5:B937,B937),"000"))</f>
        <v/>
      </c>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row>
    <row r="938" spans="1:31" ht="15" customHeight="1">
      <c r="A938" s="11" t="str">
        <f>IF(B938="","","W"&amp;B938&amp;"-"&amp;TEXT(COUNTIF($B$5:B938,B938),"000"))</f>
        <v/>
      </c>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row>
    <row r="939" spans="1:31" ht="15" customHeight="1">
      <c r="A939" s="11" t="str">
        <f>IF(B939="","","W"&amp;B939&amp;"-"&amp;TEXT(COUNTIF($B$5:B939,B939),"000"))</f>
        <v/>
      </c>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row>
    <row r="940" spans="1:31" ht="15" customHeight="1">
      <c r="A940" s="11" t="str">
        <f>IF(B940="","","W"&amp;B940&amp;"-"&amp;TEXT(COUNTIF($B$5:B940,B940),"000"))</f>
        <v/>
      </c>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row>
    <row r="941" spans="1:31" ht="15" customHeight="1">
      <c r="A941" s="11" t="str">
        <f>IF(B941="","","W"&amp;B941&amp;"-"&amp;TEXT(COUNTIF($B$5:B941,B941),"000"))</f>
        <v/>
      </c>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row>
    <row r="942" spans="1:31" ht="15" customHeight="1">
      <c r="A942" s="11" t="str">
        <f>IF(B942="","","W"&amp;B942&amp;"-"&amp;TEXT(COUNTIF($B$5:B942,B942),"000"))</f>
        <v/>
      </c>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row>
    <row r="943" spans="1:31" ht="15" customHeight="1">
      <c r="A943" s="11" t="str">
        <f>IF(B943="","","W"&amp;B943&amp;"-"&amp;TEXT(COUNTIF($B$5:B943,B943),"000"))</f>
        <v/>
      </c>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row>
    <row r="944" spans="1:31" ht="15" customHeight="1">
      <c r="A944" s="11" t="str">
        <f>IF(B944="","","W"&amp;B944&amp;"-"&amp;TEXT(COUNTIF($B$5:B944,B944),"000"))</f>
        <v/>
      </c>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row>
    <row r="945" spans="1:31" ht="15" customHeight="1">
      <c r="A945" s="11" t="str">
        <f>IF(B945="","","W"&amp;B945&amp;"-"&amp;TEXT(COUNTIF($B$5:B945,B945),"000"))</f>
        <v/>
      </c>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spans="1:31" ht="15" customHeight="1">
      <c r="A946" s="11" t="str">
        <f>IF(B946="","","W"&amp;B946&amp;"-"&amp;TEXT(COUNTIF($B$5:B946,B946),"000"))</f>
        <v/>
      </c>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row>
    <row r="947" spans="1:31" ht="15" customHeight="1">
      <c r="A947" s="11" t="str">
        <f>IF(B947="","","W"&amp;B947&amp;"-"&amp;TEXT(COUNTIF($B$5:B947,B947),"000"))</f>
        <v/>
      </c>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row>
    <row r="948" spans="1:31" ht="15" customHeight="1">
      <c r="A948" s="11" t="str">
        <f>IF(B948="","","W"&amp;B948&amp;"-"&amp;TEXT(COUNTIF($B$5:B948,B948),"000"))</f>
        <v/>
      </c>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row>
    <row r="949" spans="1:31" ht="15" customHeight="1">
      <c r="A949" s="11" t="str">
        <f>IF(B949="","","W"&amp;B949&amp;"-"&amp;TEXT(COUNTIF($B$5:B949,B949),"000"))</f>
        <v/>
      </c>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row>
    <row r="950" spans="1:31" ht="15" customHeight="1">
      <c r="A950" s="11" t="str">
        <f>IF(B950="","","W"&amp;B950&amp;"-"&amp;TEXT(COUNTIF($B$5:B950,B950),"000"))</f>
        <v/>
      </c>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row>
    <row r="951" spans="1:31" ht="15" customHeight="1">
      <c r="A951" s="11" t="str">
        <f>IF(B951="","","W"&amp;B951&amp;"-"&amp;TEXT(COUNTIF($B$5:B951,B951),"000"))</f>
        <v/>
      </c>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row>
    <row r="952" spans="1:31" ht="15" customHeight="1">
      <c r="A952" s="11" t="str">
        <f>IF(B952="","","W"&amp;B952&amp;"-"&amp;TEXT(COUNTIF($B$5:B952,B952),"000"))</f>
        <v/>
      </c>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row>
    <row r="953" spans="1:31" ht="15" customHeight="1">
      <c r="A953" s="11" t="str">
        <f>IF(B953="","","W"&amp;B953&amp;"-"&amp;TEXT(COUNTIF($B$5:B953,B953),"000"))</f>
        <v/>
      </c>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row>
    <row r="954" spans="1:31" ht="15" customHeight="1">
      <c r="A954" s="11" t="str">
        <f>IF(B954="","","W"&amp;B954&amp;"-"&amp;TEXT(COUNTIF($B$5:B954,B954),"000"))</f>
        <v/>
      </c>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spans="1:31" ht="15" customHeight="1">
      <c r="A955" s="11" t="str">
        <f>IF(B955="","","W"&amp;B955&amp;"-"&amp;TEXT(COUNTIF($B$5:B955,B955),"000"))</f>
        <v/>
      </c>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row>
    <row r="956" spans="1:31" ht="15" customHeight="1">
      <c r="A956" s="11" t="str">
        <f>IF(B956="","","W"&amp;B956&amp;"-"&amp;TEXT(COUNTIF($B$5:B956,B956),"000"))</f>
        <v/>
      </c>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row>
    <row r="957" spans="1:31" ht="15" customHeight="1">
      <c r="A957" s="11" t="str">
        <f>IF(B957="","","W"&amp;B957&amp;"-"&amp;TEXT(COUNTIF($B$5:B957,B957),"000"))</f>
        <v/>
      </c>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row>
    <row r="958" spans="1:31" ht="15" customHeight="1">
      <c r="A958" s="11" t="str">
        <f>IF(B958="","","W"&amp;B958&amp;"-"&amp;TEXT(COUNTIF($B$5:B958,B958),"000"))</f>
        <v/>
      </c>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row>
    <row r="959" spans="1:31" ht="15" customHeight="1">
      <c r="A959" s="11" t="str">
        <f>IF(B959="","","W"&amp;B959&amp;"-"&amp;TEXT(COUNTIF($B$5:B959,B959),"000"))</f>
        <v/>
      </c>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row>
    <row r="960" spans="1:31" ht="15" customHeight="1">
      <c r="A960" s="11" t="str">
        <f>IF(B960="","","W"&amp;B960&amp;"-"&amp;TEXT(COUNTIF($B$5:B960,B960),"000"))</f>
        <v/>
      </c>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row>
    <row r="961" spans="1:31" ht="15" customHeight="1">
      <c r="A961" s="11" t="str">
        <f>IF(B961="","","W"&amp;B961&amp;"-"&amp;TEXT(COUNTIF($B$5:B961,B961),"000"))</f>
        <v/>
      </c>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row>
    <row r="962" spans="1:31" ht="15" customHeight="1">
      <c r="A962" s="11" t="str">
        <f>IF(B962="","","W"&amp;B962&amp;"-"&amp;TEXT(COUNTIF($B$5:B962,B962),"000"))</f>
        <v/>
      </c>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row>
    <row r="963" spans="1:31" ht="15" customHeight="1">
      <c r="A963" s="11" t="str">
        <f>IF(B963="","","W"&amp;B963&amp;"-"&amp;TEXT(COUNTIF($B$5:B963,B963),"000"))</f>
        <v/>
      </c>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row>
    <row r="964" spans="1:31" ht="15" customHeight="1">
      <c r="A964" s="11" t="str">
        <f>IF(B964="","","W"&amp;B964&amp;"-"&amp;TEXT(COUNTIF($B$5:B964,B964),"000"))</f>
        <v/>
      </c>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row>
    <row r="965" spans="1:31" ht="15" customHeight="1">
      <c r="A965" s="11" t="str">
        <f>IF(B965="","","W"&amp;B965&amp;"-"&amp;TEXT(COUNTIF($B$5:B965,B965),"000"))</f>
        <v/>
      </c>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row>
    <row r="966" spans="1:31" ht="15" customHeight="1">
      <c r="A966" s="11" t="str">
        <f>IF(B966="","","W"&amp;B966&amp;"-"&amp;TEXT(COUNTIF($B$5:B966,B966),"000"))</f>
        <v/>
      </c>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row>
    <row r="967" spans="1:31" ht="15" customHeight="1">
      <c r="A967" s="11" t="str">
        <f>IF(B967="","","W"&amp;B967&amp;"-"&amp;TEXT(COUNTIF($B$5:B967,B967),"000"))</f>
        <v/>
      </c>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row>
    <row r="968" spans="1:31" ht="15" customHeight="1">
      <c r="A968" s="11" t="str">
        <f>IF(B968="","","W"&amp;B968&amp;"-"&amp;TEXT(COUNTIF($B$5:B968,B968),"000"))</f>
        <v/>
      </c>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row>
    <row r="969" spans="1:31" ht="15" customHeight="1">
      <c r="A969" s="11" t="str">
        <f>IF(B969="","","W"&amp;B969&amp;"-"&amp;TEXT(COUNTIF($B$5:B969,B969),"000"))</f>
        <v/>
      </c>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row>
    <row r="970" spans="1:31" ht="15" customHeight="1">
      <c r="A970" s="11" t="str">
        <f>IF(B970="","","W"&amp;B970&amp;"-"&amp;TEXT(COUNTIF($B$5:B970,B970),"000"))</f>
        <v/>
      </c>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row>
    <row r="971" spans="1:31" ht="15" customHeight="1">
      <c r="A971" s="11" t="str">
        <f>IF(B971="","","W"&amp;B971&amp;"-"&amp;TEXT(COUNTIF($B$5:B971,B971),"000"))</f>
        <v/>
      </c>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row>
    <row r="972" spans="1:31" ht="15" customHeight="1">
      <c r="A972" s="11" t="str">
        <f>IF(B972="","","W"&amp;B972&amp;"-"&amp;TEXT(COUNTIF($B$5:B972,B972),"000"))</f>
        <v/>
      </c>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row>
    <row r="973" spans="1:31" ht="15" customHeight="1">
      <c r="A973" s="11" t="str">
        <f>IF(B973="","","W"&amp;B973&amp;"-"&amp;TEXT(COUNTIF($B$5:B973,B973),"000"))</f>
        <v/>
      </c>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row>
    <row r="974" spans="1:31" ht="15" customHeight="1">
      <c r="A974" s="11" t="str">
        <f>IF(B974="","","W"&amp;B974&amp;"-"&amp;TEXT(COUNTIF($B$5:B974,B974),"000"))</f>
        <v/>
      </c>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row>
    <row r="975" spans="1:31" ht="15" customHeight="1">
      <c r="A975" s="11" t="str">
        <f>IF(B975="","","W"&amp;B975&amp;"-"&amp;TEXT(COUNTIF($B$5:B975,B975),"000"))</f>
        <v/>
      </c>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row>
    <row r="976" spans="1:31" ht="15" customHeight="1">
      <c r="A976" s="11" t="str">
        <f>IF(B976="","","W"&amp;B976&amp;"-"&amp;TEXT(COUNTIF($B$5:B976,B976),"000"))</f>
        <v/>
      </c>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row>
    <row r="977" spans="1:31" ht="15" customHeight="1">
      <c r="A977" s="11" t="str">
        <f>IF(B977="","","W"&amp;B977&amp;"-"&amp;TEXT(COUNTIF($B$5:B977,B977),"000"))</f>
        <v/>
      </c>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row>
    <row r="978" spans="1:31" ht="15" customHeight="1">
      <c r="A978" s="11" t="str">
        <f>IF(B978="","","W"&amp;B978&amp;"-"&amp;TEXT(COUNTIF($B$5:B978,B978),"000"))</f>
        <v/>
      </c>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row>
    <row r="979" spans="1:31" ht="15" customHeight="1">
      <c r="A979" s="11" t="str">
        <f>IF(B979="","","W"&amp;B979&amp;"-"&amp;TEXT(COUNTIF($B$5:B979,B979),"000"))</f>
        <v/>
      </c>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row>
    <row r="980" spans="1:31" ht="15" customHeight="1">
      <c r="A980" s="11" t="str">
        <f>IF(B980="","","W"&amp;B980&amp;"-"&amp;TEXT(COUNTIF($B$5:B980,B980),"000"))</f>
        <v/>
      </c>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row>
    <row r="981" spans="1:31" ht="15" customHeight="1">
      <c r="A981" s="11" t="str">
        <f>IF(B981="","","W"&amp;B981&amp;"-"&amp;TEXT(COUNTIF($B$5:B981,B981),"000"))</f>
        <v/>
      </c>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row>
    <row r="982" spans="1:31" ht="15" customHeight="1">
      <c r="A982" s="11" t="str">
        <f>IF(B982="","","W"&amp;B982&amp;"-"&amp;TEXT(COUNTIF($B$5:B982,B982),"000"))</f>
        <v/>
      </c>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row>
    <row r="983" spans="1:31" ht="15" customHeight="1">
      <c r="A983" s="11" t="str">
        <f>IF(B983="","","W"&amp;B983&amp;"-"&amp;TEXT(COUNTIF($B$5:B983,B983),"000"))</f>
        <v/>
      </c>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row>
    <row r="984" spans="1:31" ht="15" customHeight="1">
      <c r="A984" s="11" t="str">
        <f>IF(B984="","","W"&amp;B984&amp;"-"&amp;TEXT(COUNTIF($B$5:B984,B984),"000"))</f>
        <v/>
      </c>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row>
    <row r="985" spans="1:31" ht="15" customHeight="1">
      <c r="A985" s="11" t="str">
        <f>IF(B985="","","W"&amp;B985&amp;"-"&amp;TEXT(COUNTIF($B$5:B985,B985),"000"))</f>
        <v/>
      </c>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row>
    <row r="986" spans="1:31" ht="15" customHeight="1">
      <c r="A986" s="11" t="str">
        <f>IF(B986="","","W"&amp;B986&amp;"-"&amp;TEXT(COUNTIF($B$5:B986,B986),"000"))</f>
        <v/>
      </c>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row>
    <row r="987" spans="1:31" ht="15" customHeight="1">
      <c r="A987" s="11" t="str">
        <f>IF(B987="","","W"&amp;B987&amp;"-"&amp;TEXT(COUNTIF($B$5:B987,B987),"000"))</f>
        <v/>
      </c>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row>
    <row r="988" spans="1:31" ht="15" customHeight="1">
      <c r="A988" s="11" t="str">
        <f>IF(B988="","","W"&amp;B988&amp;"-"&amp;TEXT(COUNTIF($B$5:B988,B988),"000"))</f>
        <v/>
      </c>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row>
    <row r="989" spans="1:31" ht="15" customHeight="1">
      <c r="A989" s="11" t="str">
        <f>IF(B989="","","W"&amp;B989&amp;"-"&amp;TEXT(COUNTIF($B$5:B989,B989),"000"))</f>
        <v/>
      </c>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row>
    <row r="990" spans="1:31" ht="15" customHeight="1">
      <c r="A990" s="11" t="str">
        <f>IF(B990="","","W"&amp;B990&amp;"-"&amp;TEXT(COUNTIF($B$5:B990,B990),"000"))</f>
        <v/>
      </c>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row>
    <row r="991" spans="1:31" ht="15" customHeight="1">
      <c r="A991" s="11" t="str">
        <f>IF(B991="","","W"&amp;B991&amp;"-"&amp;TEXT(COUNTIF($B$5:B991,B991),"000"))</f>
        <v/>
      </c>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row>
    <row r="992" spans="1:31" ht="15" customHeight="1">
      <c r="A992" s="11" t="str">
        <f>IF(B992="","","W"&amp;B992&amp;"-"&amp;TEXT(COUNTIF($B$5:B992,B992),"000"))</f>
        <v/>
      </c>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row>
    <row r="993" spans="1:31" ht="15" customHeight="1">
      <c r="A993" s="11" t="str">
        <f>IF(B993="","","W"&amp;B993&amp;"-"&amp;TEXT(COUNTIF($B$5:B993,B993),"000"))</f>
        <v/>
      </c>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row>
    <row r="994" spans="1:31" ht="15" customHeight="1">
      <c r="A994" s="11" t="str">
        <f>IF(B994="","","W"&amp;B994&amp;"-"&amp;TEXT(COUNTIF($B$5:B994,B994),"000"))</f>
        <v/>
      </c>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row>
    <row r="995" spans="1:31" ht="15" customHeight="1">
      <c r="A995" s="11" t="str">
        <f>IF(B995="","","W"&amp;B995&amp;"-"&amp;TEXT(COUNTIF($B$5:B995,B995),"000"))</f>
        <v/>
      </c>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row>
    <row r="996" spans="1:31" ht="15" customHeight="1">
      <c r="A996" s="11" t="str">
        <f>IF(B996="","","W"&amp;B996&amp;"-"&amp;TEXT(COUNTIF($B$5:B996,B996),"000"))</f>
        <v/>
      </c>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row>
    <row r="997" spans="1:31" ht="15" customHeight="1">
      <c r="A997" s="11" t="str">
        <f>IF(B997="","","W"&amp;B997&amp;"-"&amp;TEXT(COUNTIF($B$5:B997,B997),"000"))</f>
        <v/>
      </c>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row>
    <row r="998" spans="1:31" ht="15" customHeight="1">
      <c r="A998" s="11" t="str">
        <f>IF(B998="","","W"&amp;B998&amp;"-"&amp;TEXT(COUNTIF($B$5:B998,B998),"000"))</f>
        <v/>
      </c>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row>
    <row r="999" spans="1:31" ht="15" customHeight="1">
      <c r="A999" s="11" t="str">
        <f>IF(B999="","","W"&amp;B999&amp;"-"&amp;TEXT(COUNTIF($B$5:B999,B999),"000"))</f>
        <v/>
      </c>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row>
    <row r="1000" spans="1:31" ht="15" customHeight="1">
      <c r="A1000" s="11" t="str">
        <f>IF(B1000="","","W"&amp;B1000&amp;"-"&amp;TEXT(COUNTIF($B$5:B1000,B1000),"000"))</f>
        <v/>
      </c>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row>
    <row r="1001" spans="1:31" ht="15" customHeight="1">
      <c r="A1001" s="11" t="str">
        <f>IF(B1001="","","W"&amp;B1001&amp;"-"&amp;TEXT(COUNTIF($B$5:B1001,B1001),"000"))</f>
        <v/>
      </c>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row>
    <row r="1002" spans="1:31" ht="15" customHeight="1">
      <c r="A1002" s="11" t="str">
        <f>IF(B1002="","","W"&amp;B1002&amp;"-"&amp;TEXT(COUNTIF($B$5:B1002,B1002),"000"))</f>
        <v/>
      </c>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row>
    <row r="1003" spans="1:31" ht="15" customHeight="1">
      <c r="A1003" s="11" t="str">
        <f>IF(B1003="","","W"&amp;B1003&amp;"-"&amp;TEXT(COUNTIF($B$5:B1003,B1003),"000"))</f>
        <v/>
      </c>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row>
    <row r="1004" spans="1:31" ht="15" customHeight="1">
      <c r="A1004" s="11" t="str">
        <f>IF(B1004="","","W"&amp;B1004&amp;"-"&amp;TEXT(COUNTIF($B$5:B1004,B1004),"000"))</f>
        <v/>
      </c>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row>
  </sheetData>
  <autoFilter ref="A4:AE1004" xr:uid="{00000000-0009-0000-0000-000002000000}"/>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2">
        <x14:dataValidation type="list" allowBlank="1" errorTitle="Not in the vocabulary" error="Pick from the list, or add your term to the Lists tab first." xr:uid="{00000000-0002-0000-0200-000000000000}">
          <x14:formula1>
            <xm:f>Lists!$S$5:$S$49</xm:f>
          </x14:formula1>
          <x14:formula2>
            <xm:f>0</xm:f>
          </x14:formula2>
          <xm:sqref>D5:D1004</xm:sqref>
        </x14:dataValidation>
        <x14:dataValidation type="list" allowBlank="1" errorTitle="Not in the vocabulary" error="Pick from the list, or add your term to the Lists tab first." xr:uid="{00000000-0002-0000-0200-000001000000}">
          <x14:formula1>
            <xm:f>Lists!$R$5:$R$53</xm:f>
          </x14:formula1>
          <x14:formula2>
            <xm:f>0</xm:f>
          </x14:formula2>
          <xm:sqref>F5:F1004</xm:sqref>
        </x14:dataValidation>
        <x14:dataValidation type="list" allowBlank="1" errorTitle="Not in the vocabulary" error="Pick from the list, or add your term to the Lists tab first." xr:uid="{00000000-0002-0000-0200-000002000000}">
          <x14:formula1>
            <xm:f>Lists!$Q$5:$Q$48</xm:f>
          </x14:formula1>
          <x14:formula2>
            <xm:f>0</xm:f>
          </x14:formula2>
          <xm:sqref>G5:G1004</xm:sqref>
        </x14:dataValidation>
        <x14:dataValidation type="list" allowBlank="1" errorTitle="Not in the vocabulary" error="Pick from the list, or add your term to the Lists tab first." xr:uid="{00000000-0002-0000-0200-000003000000}">
          <x14:formula1>
            <xm:f>Lists!$A$5:$A$59</xm:f>
          </x14:formula1>
          <x14:formula2>
            <xm:f>0</xm:f>
          </x14:formula2>
          <xm:sqref>H5:H1004</xm:sqref>
        </x14:dataValidation>
        <x14:dataValidation type="list" allowBlank="1" errorTitle="Not in the vocabulary" error="Pick from the list, or add your term to the Lists tab first." xr:uid="{00000000-0002-0000-0200-000004000000}">
          <x14:formula1>
            <xm:f>Lists!$B$5:$B$57</xm:f>
          </x14:formula1>
          <x14:formula2>
            <xm:f>0</xm:f>
          </x14:formula2>
          <xm:sqref>I5:I1004</xm:sqref>
        </x14:dataValidation>
        <x14:dataValidation type="list" allowBlank="1" errorTitle="Not in the vocabulary" error="Pick from the list, or add your term to the Lists tab first." xr:uid="{00000000-0002-0000-0200-000005000000}">
          <x14:formula1>
            <xm:f>Lists!$C$5:$C$83</xm:f>
          </x14:formula1>
          <x14:formula2>
            <xm:f>0</xm:f>
          </x14:formula2>
          <xm:sqref>J5:J1004</xm:sqref>
        </x14:dataValidation>
        <x14:dataValidation type="list" allowBlank="1" errorTitle="Not in the vocabulary" error="Pick from the list, or add your term to the Lists tab first." xr:uid="{00000000-0002-0000-0200-000006000000}">
          <x14:formula1>
            <xm:f>Lists!$D$5:$D$47</xm:f>
          </x14:formula1>
          <x14:formula2>
            <xm:f>0</xm:f>
          </x14:formula2>
          <xm:sqref>K5:K1004</xm:sqref>
        </x14:dataValidation>
        <x14:dataValidation type="list" allowBlank="1" errorTitle="Not in the vocabulary" error="Pick from the list, or add your term to the Lists tab first." xr:uid="{00000000-0002-0000-0200-000007000000}">
          <x14:formula1>
            <xm:f>Lists!$E$5:$E$68</xm:f>
          </x14:formula1>
          <x14:formula2>
            <xm:f>0</xm:f>
          </x14:formula2>
          <xm:sqref>L5:L1004</xm:sqref>
        </x14:dataValidation>
        <x14:dataValidation type="list" allowBlank="1" errorTitle="Not in the vocabulary" error="Pick from the list, or add your term to the Lists tab first." xr:uid="{00000000-0002-0000-0200-000008000000}">
          <x14:formula1>
            <xm:f>Lists!$F$5:$F$75</xm:f>
          </x14:formula1>
          <x14:formula2>
            <xm:f>0</xm:f>
          </x14:formula2>
          <xm:sqref>M5:M1004</xm:sqref>
        </x14:dataValidation>
        <x14:dataValidation type="list" allowBlank="1" errorTitle="Not in the vocabulary" error="Pick from the list, or add your term to the Lists tab first." xr:uid="{00000000-0002-0000-0200-000009000000}">
          <x14:formula1>
            <xm:f>Lists!$G$5:$G$49</xm:f>
          </x14:formula1>
          <x14:formula2>
            <xm:f>0</xm:f>
          </x14:formula2>
          <xm:sqref>N5:N1004</xm:sqref>
        </x14:dataValidation>
        <x14:dataValidation type="list" allowBlank="1" errorTitle="Not in the vocabulary" error="Pick from the list, or add your term to the Lists tab first." xr:uid="{00000000-0002-0000-0200-00000A000000}">
          <x14:formula1>
            <xm:f>Lists!$H$5:$H$55</xm:f>
          </x14:formula1>
          <x14:formula2>
            <xm:f>0</xm:f>
          </x14:formula2>
          <xm:sqref>O5:O1004</xm:sqref>
        </x14:dataValidation>
        <x14:dataValidation type="list" allowBlank="1" errorTitle="Not in the vocabulary" error="Pick from the list, or add your term to the Lists tab first." xr:uid="{00000000-0002-0000-0200-00000B000000}">
          <x14:formula1>
            <xm:f>Lists!$I$5:$I$57</xm:f>
          </x14:formula1>
          <x14:formula2>
            <xm:f>0</xm:f>
          </x14:formula2>
          <xm:sqref>P5:P1004</xm:sqref>
        </x14:dataValidation>
        <x14:dataValidation type="list" allowBlank="1" errorTitle="Not in the vocabulary" error="Pick from the list, or add your term to the Lists tab first." xr:uid="{00000000-0002-0000-0200-00000C000000}">
          <x14:formula1>
            <xm:f>Lists!$J$5:$J$83</xm:f>
          </x14:formula1>
          <x14:formula2>
            <xm:f>0</xm:f>
          </x14:formula2>
          <xm:sqref>Q5:Q1004</xm:sqref>
        </x14:dataValidation>
        <x14:dataValidation type="list" allowBlank="1" errorTitle="Not in the vocabulary" error="Pick from the list, or add your term to the Lists tab first." xr:uid="{00000000-0002-0000-0200-00000D000000}">
          <x14:formula1>
            <xm:f>Lists!$K$5:$K$72</xm:f>
          </x14:formula1>
          <x14:formula2>
            <xm:f>0</xm:f>
          </x14:formula2>
          <xm:sqref>R5:R1004</xm:sqref>
        </x14:dataValidation>
        <x14:dataValidation type="list" allowBlank="1" errorTitle="Not in the vocabulary" error="Pick from the list, or add your term to the Lists tab first." xr:uid="{00000000-0002-0000-0200-00000E000000}">
          <x14:formula1>
            <xm:f>Lists!$L$5:$L$106</xm:f>
          </x14:formula1>
          <x14:formula2>
            <xm:f>0</xm:f>
          </x14:formula2>
          <xm:sqref>S5:S1004</xm:sqref>
        </x14:dataValidation>
        <x14:dataValidation type="list" allowBlank="1" errorTitle="Not in the vocabulary" error="Pick from the list, or add your term to the Lists tab first." xr:uid="{00000000-0002-0000-0200-00000F000000}">
          <x14:formula1>
            <xm:f>Lists!$M$5:$M$63</xm:f>
          </x14:formula1>
          <x14:formula2>
            <xm:f>0</xm:f>
          </x14:formula2>
          <xm:sqref>T5:T1004</xm:sqref>
        </x14:dataValidation>
        <x14:dataValidation type="list" allowBlank="1" errorTitle="Not in the vocabulary" error="Pick from the list, or add your term to the Lists tab first." xr:uid="{00000000-0002-0000-0200-000010000000}">
          <x14:formula1>
            <xm:f>Lists!$U$5:$U$47</xm:f>
          </x14:formula1>
          <x14:formula2>
            <xm:f>0</xm:f>
          </x14:formula2>
          <xm:sqref>U5:U1004 AB5:AB1004</xm:sqref>
        </x14:dataValidation>
        <x14:dataValidation type="list" allowBlank="1" errorTitle="Not in the vocabulary" error="Pick from the list, or add your term to the Lists tab first." xr:uid="{00000000-0002-0000-0200-000011000000}">
          <x14:formula1>
            <xm:f>Lists!$T$5:$T$56</xm:f>
          </x14:formula1>
          <x14:formula2>
            <xm:f>0</xm:f>
          </x14:formula2>
          <xm:sqref>W5:W1004</xm:sqref>
        </x14:dataValidation>
        <x14:dataValidation type="list" allowBlank="1" errorTitle="Not in the vocabulary" error="Pick from the list, or add your term to the Lists tab first." xr:uid="{00000000-0002-0000-0200-000012000000}">
          <x14:formula1>
            <xm:f>Lists!$N$5:$N$56</xm:f>
          </x14:formula1>
          <x14:formula2>
            <xm:f>0</xm:f>
          </x14:formula2>
          <xm:sqref>Y5:Y1004</xm:sqref>
        </x14:dataValidation>
        <x14:dataValidation type="list" allowBlank="1" errorTitle="Not in the vocabulary" error="Pick from the list, or add your term to the Lists tab first." xr:uid="{00000000-0002-0000-0200-000013000000}">
          <x14:formula1>
            <xm:f>Lists!$O$5:$O$58</xm:f>
          </x14:formula1>
          <x14:formula2>
            <xm:f>0</xm:f>
          </x14:formula2>
          <xm:sqref>Z5:Z1004</xm:sqref>
        </x14:dataValidation>
        <x14:dataValidation type="list" allowBlank="1" errorTitle="Not in the vocabulary" error="Pick from the list, or add your term to the Lists tab first." xr:uid="{00000000-0002-0000-0200-000014000000}">
          <x14:formula1>
            <xm:f>Lists!$P$5:$P$53</xm:f>
          </x14:formula1>
          <x14:formula2>
            <xm:f>0</xm:f>
          </x14:formula2>
          <xm:sqref>AA5:AA1004</xm:sqref>
        </x14:dataValidation>
        <x14:dataValidation type="list" allowBlank="1" errorTitle="Not in the vocabulary" error="Pick from the list, or add your term to the Lists tab first." xr:uid="{00000000-0002-0000-0200-000016000000}">
          <x14:formula1>
            <xm:f>Lists!$V$5:$V$48</xm:f>
          </x14:formula1>
          <x14:formula2>
            <xm:f>0</xm:f>
          </x14:formula2>
          <xm:sqref>AC5:AC1004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8"/>
  <sheetViews>
    <sheetView zoomScaleNormal="100" workbookViewId="0"/>
  </sheetViews>
  <sheetFormatPr defaultColWidth="8.7109375" defaultRowHeight="15"/>
  <cols>
    <col min="1" max="1" width="34" style="1" customWidth="1"/>
    <col min="2" max="4" width="14" style="1" customWidth="1"/>
  </cols>
  <sheetData>
    <row r="1" spans="1:4" ht="17.25" customHeight="1">
      <c r="A1" s="7" t="s">
        <v>407</v>
      </c>
    </row>
    <row r="2" spans="1:4" ht="15" customHeight="1">
      <c r="A2" s="8" t="s">
        <v>408</v>
      </c>
      <c r="B2" s="3">
        <f>COUNT(Chart!$B$5:$B$1004)</f>
        <v>1</v>
      </c>
    </row>
    <row r="4" spans="1:4" ht="15" customHeight="1">
      <c r="A4" s="5" t="s">
        <v>409</v>
      </c>
      <c r="B4" s="5" t="s">
        <v>410</v>
      </c>
      <c r="C4" s="5" t="s">
        <v>411</v>
      </c>
      <c r="D4" s="5" t="s">
        <v>412</v>
      </c>
    </row>
    <row r="5" spans="1:4" ht="15" customHeight="1">
      <c r="A5" s="9" t="s">
        <v>63</v>
      </c>
      <c r="B5" s="9">
        <f>COUNTIF(Chart!$O$5:$O$1004,A5)</f>
        <v>1</v>
      </c>
      <c r="C5" s="14">
        <f>IFERROR(B5/$B$2,0)</f>
        <v>1</v>
      </c>
      <c r="D5" s="15">
        <f>IFERROR(AVERAGEIF(Chart!$O$5:$O$1004,A5,Chart!$X$5:$X$1004),0)</f>
        <v>6</v>
      </c>
    </row>
    <row r="6" spans="1:4" ht="15" customHeight="1">
      <c r="A6" s="9" t="s">
        <v>84</v>
      </c>
      <c r="B6" s="9">
        <f>COUNTIF(Chart!$O$5:$O$1004,A6)</f>
        <v>0</v>
      </c>
      <c r="C6" s="14">
        <f>IFERROR(B6/$B$2,0)</f>
        <v>0</v>
      </c>
      <c r="D6" s="15">
        <f>IFERROR(AVERAGEIF(Chart!$O$5:$O$1004,A6,Chart!$X$5:$X$1004),0)</f>
        <v>0</v>
      </c>
    </row>
    <row r="7" spans="1:4" ht="15" customHeight="1">
      <c r="A7" s="9" t="s">
        <v>103</v>
      </c>
      <c r="B7" s="9">
        <f>COUNTIF(Chart!$O$5:$O$1004,A7)</f>
        <v>0</v>
      </c>
      <c r="C7" s="14">
        <f>IFERROR(B7/$B$2,0)</f>
        <v>0</v>
      </c>
      <c r="D7" s="15">
        <f>IFERROR(AVERAGEIF(Chart!$O$5:$O$1004,A7,Chart!$X$5:$X$1004),0)</f>
        <v>0</v>
      </c>
    </row>
    <row r="8" spans="1:4" ht="15" customHeight="1">
      <c r="A8" s="9" t="s">
        <v>123</v>
      </c>
      <c r="B8" s="9">
        <f>COUNTIF(Chart!$O$5:$O$1004,A8)</f>
        <v>0</v>
      </c>
      <c r="C8" s="14">
        <f>IFERROR(B8/$B$2,0)</f>
        <v>0</v>
      </c>
      <c r="D8" s="15">
        <f>IFERROR(AVERAGEIF(Chart!$O$5:$O$1004,A8,Chart!$X$5:$X$1004),0)</f>
        <v>0</v>
      </c>
    </row>
    <row r="9" spans="1:4" ht="15" customHeight="1">
      <c r="A9" s="9" t="s">
        <v>140</v>
      </c>
      <c r="B9" s="9">
        <f>COUNTIF(Chart!$O$5:$O$1004,A9)</f>
        <v>0</v>
      </c>
      <c r="C9" s="14">
        <f>IFERROR(B9/$B$2,0)</f>
        <v>0</v>
      </c>
      <c r="D9" s="15">
        <f>IFERROR(AVERAGEIF(Chart!$O$5:$O$1004,A9,Chart!$X$5:$X$1004),0)</f>
        <v>0</v>
      </c>
    </row>
    <row r="10" spans="1:4" ht="15" customHeight="1">
      <c r="A10" s="9" t="s">
        <v>156</v>
      </c>
      <c r="B10" s="9">
        <f>COUNTIF(Chart!$O$5:$O$1004,A10)</f>
        <v>0</v>
      </c>
      <c r="C10" s="14">
        <f>IFERROR(B10/$B$2,0)</f>
        <v>0</v>
      </c>
      <c r="D10" s="15">
        <f>IFERROR(AVERAGEIF(Chart!$O$5:$O$1004,A10,Chart!$X$5:$X$1004),0)</f>
        <v>0</v>
      </c>
    </row>
    <row r="11" spans="1:4" ht="15" customHeight="1">
      <c r="A11" s="9" t="s">
        <v>47</v>
      </c>
      <c r="B11" s="9">
        <f>COUNTIF(Chart!$O$5:$O$1004,A11)</f>
        <v>0</v>
      </c>
      <c r="C11" s="14">
        <f>IFERROR(B11/$B$2,0)</f>
        <v>0</v>
      </c>
      <c r="D11" s="15">
        <f>IFERROR(AVERAGEIF(Chart!$O$5:$O$1004,A11,Chart!$X$5:$X$1004),0)</f>
        <v>0</v>
      </c>
    </row>
    <row r="12" spans="1:4" ht="15" customHeight="1">
      <c r="A12" s="9" t="s">
        <v>187</v>
      </c>
      <c r="B12" s="9">
        <f>COUNTIF(Chart!$O$5:$O$1004,A12)</f>
        <v>0</v>
      </c>
      <c r="C12" s="14">
        <f>IFERROR(B12/$B$2,0)</f>
        <v>0</v>
      </c>
      <c r="D12" s="15">
        <f>IFERROR(AVERAGEIF(Chart!$O$5:$O$1004,A12,Chart!$X$5:$X$1004),0)</f>
        <v>0</v>
      </c>
    </row>
    <row r="13" spans="1:4" ht="15" customHeight="1">
      <c r="A13" s="9" t="s">
        <v>202</v>
      </c>
      <c r="B13" s="9">
        <f>COUNTIF(Chart!$O$5:$O$1004,A13)</f>
        <v>0</v>
      </c>
      <c r="C13" s="14">
        <f>IFERROR(B13/$B$2,0)</f>
        <v>0</v>
      </c>
      <c r="D13" s="15">
        <f>IFERROR(AVERAGEIF(Chart!$O$5:$O$1004,A13,Chart!$X$5:$X$1004),0)</f>
        <v>0</v>
      </c>
    </row>
    <row r="14" spans="1:4" ht="15" customHeight="1">
      <c r="A14" s="9" t="s">
        <v>214</v>
      </c>
      <c r="B14" s="9">
        <f>COUNTIF(Chart!$O$5:$O$1004,A14)</f>
        <v>0</v>
      </c>
      <c r="C14" s="14">
        <f>IFERROR(B14/$B$2,0)</f>
        <v>0</v>
      </c>
      <c r="D14" s="15">
        <f>IFERROR(AVERAGEIF(Chart!$O$5:$O$1004,A14,Chart!$X$5:$X$1004),0)</f>
        <v>0</v>
      </c>
    </row>
    <row r="16" spans="1:4" ht="15" customHeight="1">
      <c r="A16" s="5" t="s">
        <v>413</v>
      </c>
      <c r="B16" s="5" t="s">
        <v>410</v>
      </c>
      <c r="C16" s="5" t="s">
        <v>411</v>
      </c>
      <c r="D16" s="5" t="s">
        <v>412</v>
      </c>
    </row>
    <row r="17" spans="1:4" ht="15" customHeight="1">
      <c r="A17" s="9" t="s">
        <v>64</v>
      </c>
      <c r="B17" s="9">
        <f>COUNTIF(Chart!$P$5:$P$1004,A17)</f>
        <v>0</v>
      </c>
      <c r="C17" s="14">
        <f>IFERROR(B17/$B$2,0)</f>
        <v>0</v>
      </c>
      <c r="D17" s="15">
        <f>IFERROR(AVERAGEIF(Chart!$P$5:$P$1004,A17,Chart!$X$5:$X$1004),0)</f>
        <v>0</v>
      </c>
    </row>
    <row r="18" spans="1:4" ht="15" customHeight="1">
      <c r="A18" s="9" t="s">
        <v>85</v>
      </c>
      <c r="B18" s="9">
        <f>COUNTIF(Chart!$P$5:$P$1004,A18)</f>
        <v>1</v>
      </c>
      <c r="C18" s="14">
        <f>IFERROR(B18/$B$2,0)</f>
        <v>1</v>
      </c>
      <c r="D18" s="15">
        <f>IFERROR(AVERAGEIF(Chart!$P$5:$P$1004,A18,Chart!$X$5:$X$1004),0)</f>
        <v>6</v>
      </c>
    </row>
    <row r="19" spans="1:4" ht="15" customHeight="1">
      <c r="A19" s="9" t="s">
        <v>104</v>
      </c>
      <c r="B19" s="9">
        <f>COUNTIF(Chart!$P$5:$P$1004,A19)</f>
        <v>0</v>
      </c>
      <c r="C19" s="14">
        <f>IFERROR(B19/$B$2,0)</f>
        <v>0</v>
      </c>
      <c r="D19" s="15">
        <f>IFERROR(AVERAGEIF(Chart!$P$5:$P$1004,A19,Chart!$X$5:$X$1004),0)</f>
        <v>0</v>
      </c>
    </row>
    <row r="20" spans="1:4" ht="15" customHeight="1">
      <c r="A20" s="9" t="s">
        <v>124</v>
      </c>
      <c r="B20" s="9">
        <f>COUNTIF(Chart!$P$5:$P$1004,A20)</f>
        <v>0</v>
      </c>
      <c r="C20" s="14">
        <f>IFERROR(B20/$B$2,0)</f>
        <v>0</v>
      </c>
      <c r="D20" s="15">
        <f>IFERROR(AVERAGEIF(Chart!$P$5:$P$1004,A20,Chart!$X$5:$X$1004),0)</f>
        <v>0</v>
      </c>
    </row>
    <row r="21" spans="1:4" ht="15" customHeight="1">
      <c r="A21" s="9" t="s">
        <v>141</v>
      </c>
      <c r="B21" s="9">
        <f>COUNTIF(Chart!$P$5:$P$1004,A21)</f>
        <v>0</v>
      </c>
      <c r="C21" s="14">
        <f>IFERROR(B21/$B$2,0)</f>
        <v>0</v>
      </c>
      <c r="D21" s="15">
        <f>IFERROR(AVERAGEIF(Chart!$P$5:$P$1004,A21,Chart!$X$5:$X$1004),0)</f>
        <v>0</v>
      </c>
    </row>
    <row r="22" spans="1:4" ht="15" customHeight="1">
      <c r="A22" s="9" t="s">
        <v>157</v>
      </c>
      <c r="B22" s="9">
        <f>COUNTIF(Chart!$P$5:$P$1004,A22)</f>
        <v>0</v>
      </c>
      <c r="C22" s="14">
        <f>IFERROR(B22/$B$2,0)</f>
        <v>0</v>
      </c>
      <c r="D22" s="15">
        <f>IFERROR(AVERAGEIF(Chart!$P$5:$P$1004,A22,Chart!$X$5:$X$1004),0)</f>
        <v>0</v>
      </c>
    </row>
    <row r="23" spans="1:4" ht="15" customHeight="1">
      <c r="A23" s="9" t="s">
        <v>172</v>
      </c>
      <c r="B23" s="9">
        <f>COUNTIF(Chart!$P$5:$P$1004,A23)</f>
        <v>0</v>
      </c>
      <c r="C23" s="14">
        <f>IFERROR(B23/$B$2,0)</f>
        <v>0</v>
      </c>
      <c r="D23" s="15">
        <f>IFERROR(AVERAGEIF(Chart!$P$5:$P$1004,A23,Chart!$X$5:$X$1004),0)</f>
        <v>0</v>
      </c>
    </row>
    <row r="24" spans="1:4" ht="15" customHeight="1">
      <c r="A24" s="9" t="s">
        <v>188</v>
      </c>
      <c r="B24" s="9">
        <f>COUNTIF(Chart!$P$5:$P$1004,A24)</f>
        <v>0</v>
      </c>
      <c r="C24" s="14">
        <f>IFERROR(B24/$B$2,0)</f>
        <v>0</v>
      </c>
      <c r="D24" s="15">
        <f>IFERROR(AVERAGEIF(Chart!$P$5:$P$1004,A24,Chart!$X$5:$X$1004),0)</f>
        <v>0</v>
      </c>
    </row>
    <row r="25" spans="1:4" ht="15" customHeight="1">
      <c r="A25" s="9" t="s">
        <v>203</v>
      </c>
      <c r="B25" s="9">
        <f>COUNTIF(Chart!$P$5:$P$1004,A25)</f>
        <v>0</v>
      </c>
      <c r="C25" s="14">
        <f>IFERROR(B25/$B$2,0)</f>
        <v>0</v>
      </c>
      <c r="D25" s="15">
        <f>IFERROR(AVERAGEIF(Chart!$P$5:$P$1004,A25,Chart!$X$5:$X$1004),0)</f>
        <v>0</v>
      </c>
    </row>
    <row r="26" spans="1:4" ht="15" customHeight="1">
      <c r="A26" s="9" t="s">
        <v>215</v>
      </c>
      <c r="B26" s="9">
        <f>COUNTIF(Chart!$P$5:$P$1004,A26)</f>
        <v>0</v>
      </c>
      <c r="C26" s="14">
        <f>IFERROR(B26/$B$2,0)</f>
        <v>0</v>
      </c>
      <c r="D26" s="15">
        <f>IFERROR(AVERAGEIF(Chart!$P$5:$P$1004,A26,Chart!$X$5:$X$1004),0)</f>
        <v>0</v>
      </c>
    </row>
    <row r="27" spans="1:4" ht="15" customHeight="1">
      <c r="A27" s="9" t="s">
        <v>194</v>
      </c>
      <c r="B27" s="9">
        <f>COUNTIF(Chart!$P$5:$P$1004,A27)</f>
        <v>0</v>
      </c>
      <c r="C27" s="14">
        <f>IFERROR(B27/$B$2,0)</f>
        <v>0</v>
      </c>
      <c r="D27" s="15">
        <f>IFERROR(AVERAGEIF(Chart!$P$5:$P$1004,A27,Chart!$X$5:$X$1004),0)</f>
        <v>0</v>
      </c>
    </row>
    <row r="29" spans="1:4" ht="15" customHeight="1">
      <c r="A29" s="5" t="s">
        <v>414</v>
      </c>
      <c r="B29" s="5" t="s">
        <v>410</v>
      </c>
      <c r="C29" s="5" t="s">
        <v>411</v>
      </c>
      <c r="D29" s="5" t="s">
        <v>412</v>
      </c>
    </row>
    <row r="30" spans="1:4" ht="15" customHeight="1">
      <c r="A30" s="9" t="s">
        <v>57</v>
      </c>
      <c r="B30" s="9">
        <f>COUNTIF(Chart!$H$5:$H$1004,A30)</f>
        <v>0</v>
      </c>
      <c r="C30" s="14">
        <f>IFERROR(B30/$B$2,0)</f>
        <v>0</v>
      </c>
      <c r="D30" s="15">
        <f>IFERROR(AVERAGEIF(Chart!$H$5:$H$1004,A30,Chart!$X$5:$X$1004),0)</f>
        <v>0</v>
      </c>
    </row>
    <row r="31" spans="1:4" ht="15" customHeight="1">
      <c r="A31" s="9" t="s">
        <v>77</v>
      </c>
      <c r="B31" s="9">
        <f>COUNTIF(Chart!$H$5:$H$1004,A31)</f>
        <v>0</v>
      </c>
      <c r="C31" s="14">
        <f>IFERROR(B31/$B$2,0)</f>
        <v>0</v>
      </c>
      <c r="D31" s="15">
        <f>IFERROR(AVERAGEIF(Chart!$H$5:$H$1004,A31,Chart!$X$5:$X$1004),0)</f>
        <v>0</v>
      </c>
    </row>
    <row r="32" spans="1:4" ht="15" customHeight="1">
      <c r="A32" s="9" t="s">
        <v>97</v>
      </c>
      <c r="B32" s="9">
        <f>COUNTIF(Chart!$H$5:$H$1004,A32)</f>
        <v>1</v>
      </c>
      <c r="C32" s="14">
        <f>IFERROR(B32/$B$2,0)</f>
        <v>1</v>
      </c>
      <c r="D32" s="15">
        <f>IFERROR(AVERAGEIF(Chart!$H$5:$H$1004,A32,Chart!$X$5:$X$1004),0)</f>
        <v>6</v>
      </c>
    </row>
    <row r="33" spans="1:4" ht="15" customHeight="1">
      <c r="A33" s="9" t="s">
        <v>117</v>
      </c>
      <c r="B33" s="9">
        <f>COUNTIF(Chart!$H$5:$H$1004,A33)</f>
        <v>0</v>
      </c>
      <c r="C33" s="14">
        <f>IFERROR(B33/$B$2,0)</f>
        <v>0</v>
      </c>
      <c r="D33" s="15">
        <f>IFERROR(AVERAGEIF(Chart!$H$5:$H$1004,A33,Chart!$X$5:$X$1004),0)</f>
        <v>0</v>
      </c>
    </row>
    <row r="34" spans="1:4" ht="15" customHeight="1">
      <c r="A34" s="9" t="s">
        <v>135</v>
      </c>
      <c r="B34" s="9">
        <f>COUNTIF(Chart!$H$5:$H$1004,A34)</f>
        <v>0</v>
      </c>
      <c r="C34" s="14">
        <f>IFERROR(B34/$B$2,0)</f>
        <v>0</v>
      </c>
      <c r="D34" s="15">
        <f>IFERROR(AVERAGEIF(Chart!$H$5:$H$1004,A34,Chart!$X$5:$X$1004),0)</f>
        <v>0</v>
      </c>
    </row>
    <row r="35" spans="1:4" ht="15" customHeight="1">
      <c r="A35" s="9" t="s">
        <v>151</v>
      </c>
      <c r="B35" s="9">
        <f>COUNTIF(Chart!$H$5:$H$1004,A35)</f>
        <v>0</v>
      </c>
      <c r="C35" s="14">
        <f>IFERROR(B35/$B$2,0)</f>
        <v>0</v>
      </c>
      <c r="D35" s="15">
        <f>IFERROR(AVERAGEIF(Chart!$H$5:$H$1004,A35,Chart!$X$5:$X$1004),0)</f>
        <v>0</v>
      </c>
    </row>
    <row r="36" spans="1:4" ht="15" customHeight="1">
      <c r="A36" s="9" t="s">
        <v>167</v>
      </c>
      <c r="B36" s="9">
        <f>COUNTIF(Chart!$H$5:$H$1004,A36)</f>
        <v>0</v>
      </c>
      <c r="C36" s="14">
        <f>IFERROR(B36/$B$2,0)</f>
        <v>0</v>
      </c>
      <c r="D36" s="15">
        <f>IFERROR(AVERAGEIF(Chart!$H$5:$H$1004,A36,Chart!$X$5:$X$1004),0)</f>
        <v>0</v>
      </c>
    </row>
    <row r="37" spans="1:4" ht="15" customHeight="1">
      <c r="A37" s="9" t="s">
        <v>182</v>
      </c>
      <c r="B37" s="9">
        <f>COUNTIF(Chart!$H$5:$H$1004,A37)</f>
        <v>0</v>
      </c>
      <c r="C37" s="14">
        <f>IFERROR(B37/$B$2,0)</f>
        <v>0</v>
      </c>
      <c r="D37" s="15">
        <f>IFERROR(AVERAGEIF(Chart!$H$5:$H$1004,A37,Chart!$X$5:$X$1004),0)</f>
        <v>0</v>
      </c>
    </row>
    <row r="38" spans="1:4" ht="15" customHeight="1">
      <c r="A38" s="9" t="s">
        <v>197</v>
      </c>
      <c r="B38" s="9">
        <f>COUNTIF(Chart!$H$5:$H$1004,A38)</f>
        <v>0</v>
      </c>
      <c r="C38" s="14">
        <f>IFERROR(B38/$B$2,0)</f>
        <v>0</v>
      </c>
      <c r="D38" s="15">
        <f>IFERROR(AVERAGEIF(Chart!$H$5:$H$1004,A38,Chart!$X$5:$X$1004),0)</f>
        <v>0</v>
      </c>
    </row>
    <row r="39" spans="1:4" ht="15" customHeight="1">
      <c r="A39" s="9" t="s">
        <v>210</v>
      </c>
      <c r="B39" s="9">
        <f>COUNTIF(Chart!$H$5:$H$1004,A39)</f>
        <v>0</v>
      </c>
      <c r="C39" s="14">
        <f>IFERROR(B39/$B$2,0)</f>
        <v>0</v>
      </c>
      <c r="D39" s="15">
        <f>IFERROR(AVERAGEIF(Chart!$H$5:$H$1004,A39,Chart!$X$5:$X$1004),0)</f>
        <v>0</v>
      </c>
    </row>
    <row r="40" spans="1:4" ht="15" customHeight="1">
      <c r="A40" s="9" t="s">
        <v>222</v>
      </c>
      <c r="B40" s="9">
        <f>COUNTIF(Chart!$H$5:$H$1004,A40)</f>
        <v>0</v>
      </c>
      <c r="C40" s="14">
        <f>IFERROR(B40/$B$2,0)</f>
        <v>0</v>
      </c>
      <c r="D40" s="15">
        <f>IFERROR(AVERAGEIF(Chart!$H$5:$H$1004,A40,Chart!$X$5:$X$1004),0)</f>
        <v>0</v>
      </c>
    </row>
    <row r="41" spans="1:4" ht="15" customHeight="1">
      <c r="A41" s="9" t="s">
        <v>231</v>
      </c>
      <c r="B41" s="9">
        <f>COUNTIF(Chart!$H$5:$H$1004,A41)</f>
        <v>0</v>
      </c>
      <c r="C41" s="14">
        <f>IFERROR(B41/$B$2,0)</f>
        <v>0</v>
      </c>
      <c r="D41" s="15">
        <f>IFERROR(AVERAGEIF(Chart!$H$5:$H$1004,A41,Chart!$X$5:$X$1004),0)</f>
        <v>0</v>
      </c>
    </row>
    <row r="42" spans="1:4" ht="15" customHeight="1">
      <c r="A42" s="9" t="s">
        <v>240</v>
      </c>
      <c r="B42" s="9">
        <f>COUNTIF(Chart!$H$5:$H$1004,A42)</f>
        <v>0</v>
      </c>
      <c r="C42" s="14">
        <f>IFERROR(B42/$B$2,0)</f>
        <v>0</v>
      </c>
      <c r="D42" s="15">
        <f>IFERROR(AVERAGEIF(Chart!$H$5:$H$1004,A42,Chart!$X$5:$X$1004),0)</f>
        <v>0</v>
      </c>
    </row>
    <row r="43" spans="1:4" ht="15" customHeight="1">
      <c r="A43" s="9" t="s">
        <v>248</v>
      </c>
      <c r="B43" s="9">
        <f>COUNTIF(Chart!$H$5:$H$1004,A43)</f>
        <v>0</v>
      </c>
      <c r="C43" s="14">
        <f>IFERROR(B43/$B$2,0)</f>
        <v>0</v>
      </c>
      <c r="D43" s="15">
        <f>IFERROR(AVERAGEIF(Chart!$H$5:$H$1004,A43,Chart!$X$5:$X$1004),0)</f>
        <v>0</v>
      </c>
    </row>
    <row r="45" spans="1:4" ht="15" customHeight="1">
      <c r="A45" s="5" t="s">
        <v>415</v>
      </c>
    </row>
    <row r="46" spans="1:4" ht="15" customHeight="1">
      <c r="A46" s="9" t="s">
        <v>416</v>
      </c>
      <c r="B46" s="3">
        <f>COUNTIF(Chart!$AB$5:$AB$1004,"Yes")</f>
        <v>1</v>
      </c>
    </row>
    <row r="47" spans="1:4" ht="15" customHeight="1">
      <c r="A47" s="9" t="s">
        <v>417</v>
      </c>
      <c r="B47" s="3">
        <f>COUNTIFS(Chart!$AB$5:$AB$1004,"Yes",Chart!$AC$5:$AC$1004,"No")</f>
        <v>0</v>
      </c>
    </row>
    <row r="48" spans="1:4" ht="15" customHeight="1">
      <c r="A48" s="9" t="s">
        <v>418</v>
      </c>
      <c r="B48" s="3">
        <f>COUNTIF(Chart!$S$5:$S$1004,"UNKNOWN - review")+COUNTIF(Chart!$Q$5:$Q$1004,"Unknown")</f>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Patrick Kwesha</cp:lastModifiedBy>
  <cp:revision>0</cp:revision>
  <dcterms:created xsi:type="dcterms:W3CDTF">2026-09-18T01:29:54Z</dcterms:created>
  <dcterms:modified xsi:type="dcterms:W3CDTF">2026-10-01T23:46:04Z</dcterms:modified>
  <cp:category/>
  <cp:contentStatus/>
</cp:coreProperties>
</file>